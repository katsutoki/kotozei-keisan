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niiyamakatsuyuki/Desktop/クリエイティブ/AI関連/ヴァイブコーディング/固都税自動計算/"/>
    </mc:Choice>
  </mc:AlternateContent>
  <xr:revisionPtr revIDLastSave="0" documentId="8_{CC33EA4B-FCE5-664D-86C4-CDF41F4B2154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計算入力" sheetId="1" r:id="rId1"/>
    <sheet name="売主様控え" sheetId="2" r:id="rId2"/>
    <sheet name="買主様控え" sheetId="3" r:id="rId3"/>
  </sheets>
  <calcPr calcId="18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2" i="3" l="1"/>
  <c r="C31" i="3"/>
  <c r="C29" i="3"/>
  <c r="A28" i="3"/>
  <c r="A24" i="3"/>
  <c r="D23" i="3"/>
  <c r="C23" i="3"/>
  <c r="D21" i="3"/>
  <c r="C21" i="3"/>
  <c r="B18" i="3"/>
  <c r="B7" i="3"/>
  <c r="B6" i="3"/>
  <c r="D5" i="3"/>
  <c r="B5" i="3"/>
  <c r="B4" i="3"/>
  <c r="C33" i="2"/>
  <c r="A32" i="2"/>
  <c r="C31" i="2"/>
  <c r="B30" i="2"/>
  <c r="C29" i="2"/>
  <c r="A28" i="2"/>
  <c r="A24" i="2"/>
  <c r="B22" i="2"/>
  <c r="C19" i="2"/>
  <c r="B18" i="2"/>
  <c r="C17" i="2"/>
  <c r="B14" i="2"/>
  <c r="D13" i="2"/>
  <c r="B7" i="2"/>
  <c r="D5" i="2"/>
  <c r="B5" i="2"/>
  <c r="B4" i="2"/>
  <c r="K26" i="1"/>
  <c r="D35" i="3" s="1"/>
  <c r="J26" i="1"/>
  <c r="C35" i="3" s="1"/>
  <c r="I26" i="1"/>
  <c r="D34" i="3" s="1"/>
  <c r="G26" i="1"/>
  <c r="D33" i="3" s="1"/>
  <c r="F26" i="1"/>
  <c r="C33" i="3" s="1"/>
  <c r="J25" i="1"/>
  <c r="H25" i="1"/>
  <c r="C30" i="3" s="1"/>
  <c r="G25" i="1"/>
  <c r="K25" i="1" s="1"/>
  <c r="F25" i="1"/>
  <c r="E29" i="2" s="1"/>
  <c r="G24" i="1"/>
  <c r="D25" i="3" s="1"/>
  <c r="F24" i="1"/>
  <c r="C25" i="3" s="1"/>
  <c r="K19" i="1"/>
  <c r="D23" i="2" s="1"/>
  <c r="J19" i="1"/>
  <c r="E23" i="3" s="1"/>
  <c r="I19" i="1"/>
  <c r="D22" i="3" s="1"/>
  <c r="G19" i="1"/>
  <c r="D21" i="2" s="1"/>
  <c r="F19" i="1"/>
  <c r="E21" i="3" s="1"/>
  <c r="J18" i="1"/>
  <c r="C19" i="3" s="1"/>
  <c r="H18" i="1"/>
  <c r="C18" i="3" s="1"/>
  <c r="G18" i="1"/>
  <c r="K18" i="1" s="1"/>
  <c r="F18" i="1"/>
  <c r="C17" i="3" s="1"/>
  <c r="G17" i="1"/>
  <c r="G20" i="1" s="1"/>
  <c r="F17" i="1"/>
  <c r="E13" i="3" s="1"/>
  <c r="B12" i="1"/>
  <c r="B35" i="2" s="1"/>
  <c r="B11" i="1"/>
  <c r="B14" i="3" s="1"/>
  <c r="B10" i="1"/>
  <c r="B9" i="1"/>
  <c r="B8" i="1"/>
  <c r="D6" i="2" s="1"/>
  <c r="D19" i="2" l="1"/>
  <c r="D19" i="3"/>
  <c r="D31" i="3"/>
  <c r="E31" i="3"/>
  <c r="D31" i="2"/>
  <c r="E31" i="2"/>
  <c r="C25" i="2"/>
  <c r="J17" i="1"/>
  <c r="J24" i="1"/>
  <c r="C21" i="2"/>
  <c r="C23" i="2"/>
  <c r="K17" i="1"/>
  <c r="K24" i="1"/>
  <c r="B8" i="2"/>
  <c r="B15" i="2"/>
  <c r="C18" i="2"/>
  <c r="D29" i="2"/>
  <c r="D34" i="2"/>
  <c r="D17" i="3"/>
  <c r="E25" i="3"/>
  <c r="E30" i="3"/>
  <c r="E33" i="3"/>
  <c r="E35" i="3"/>
  <c r="H19" i="1"/>
  <c r="H26" i="1"/>
  <c r="C13" i="2"/>
  <c r="E21" i="2"/>
  <c r="E23" i="2"/>
  <c r="D6" i="3"/>
  <c r="E17" i="3"/>
  <c r="E19" i="3"/>
  <c r="B23" i="3"/>
  <c r="B26" i="3"/>
  <c r="B31" i="3"/>
  <c r="B34" i="3"/>
  <c r="D22" i="2"/>
  <c r="D35" i="2"/>
  <c r="H17" i="1"/>
  <c r="F20" i="1"/>
  <c r="F31" i="1" s="1"/>
  <c r="H24" i="1"/>
  <c r="F27" i="1"/>
  <c r="B6" i="2"/>
  <c r="D17" i="2"/>
  <c r="E25" i="2"/>
  <c r="E33" i="2"/>
  <c r="E35" i="2"/>
  <c r="D13" i="3"/>
  <c r="B22" i="3"/>
  <c r="B27" i="3"/>
  <c r="B30" i="3"/>
  <c r="B35" i="3"/>
  <c r="B27" i="2"/>
  <c r="E13" i="2"/>
  <c r="B19" i="2"/>
  <c r="C30" i="2"/>
  <c r="C35" i="2"/>
  <c r="B8" i="3"/>
  <c r="B15" i="3"/>
  <c r="D29" i="3"/>
  <c r="I18" i="1"/>
  <c r="I25" i="1"/>
  <c r="D25" i="2"/>
  <c r="D33" i="2"/>
  <c r="C13" i="3"/>
  <c r="E29" i="3"/>
  <c r="I17" i="1"/>
  <c r="I24" i="1"/>
  <c r="G27" i="1"/>
  <c r="G31" i="1" s="1"/>
  <c r="E17" i="2"/>
  <c r="E19" i="2"/>
  <c r="B23" i="2"/>
  <c r="B26" i="2"/>
  <c r="B31" i="2"/>
  <c r="B34" i="2"/>
  <c r="B19" i="3"/>
  <c r="D30" i="3" l="1"/>
  <c r="D30" i="2"/>
  <c r="E18" i="2"/>
  <c r="D18" i="3"/>
  <c r="D18" i="2"/>
  <c r="D27" i="3"/>
  <c r="K27" i="1"/>
  <c r="D27" i="2"/>
  <c r="E14" i="3"/>
  <c r="C14" i="2"/>
  <c r="C14" i="3"/>
  <c r="E14" i="2"/>
  <c r="H20" i="1"/>
  <c r="D26" i="3"/>
  <c r="D26" i="2"/>
  <c r="I27" i="1"/>
  <c r="E30" i="2"/>
  <c r="D14" i="2"/>
  <c r="D14" i="3"/>
  <c r="I20" i="1"/>
  <c r="E18" i="3"/>
  <c r="E34" i="3"/>
  <c r="E34" i="2"/>
  <c r="C34" i="2"/>
  <c r="C34" i="3"/>
  <c r="C27" i="3"/>
  <c r="C27" i="2"/>
  <c r="E27" i="2"/>
  <c r="J27" i="1"/>
  <c r="E27" i="3"/>
  <c r="D15" i="2"/>
  <c r="K20" i="1"/>
  <c r="D15" i="3"/>
  <c r="C26" i="3"/>
  <c r="E26" i="3"/>
  <c r="E26" i="2"/>
  <c r="C26" i="2"/>
  <c r="H27" i="1"/>
  <c r="C22" i="3"/>
  <c r="C22" i="2"/>
  <c r="E22" i="2"/>
  <c r="E22" i="3"/>
  <c r="E15" i="3"/>
  <c r="E15" i="2"/>
  <c r="C15" i="3"/>
  <c r="C15" i="2"/>
  <c r="J20" i="1"/>
  <c r="D39" i="2" l="1"/>
  <c r="D39" i="3"/>
  <c r="K32" i="1"/>
  <c r="C38" i="2"/>
  <c r="E38" i="3"/>
  <c r="H31" i="1"/>
  <c r="C38" i="3"/>
  <c r="E38" i="2"/>
  <c r="E41" i="3"/>
  <c r="E39" i="3"/>
  <c r="E41" i="2"/>
  <c r="E39" i="2"/>
  <c r="C39" i="3"/>
  <c r="C39" i="2"/>
  <c r="J32" i="1"/>
  <c r="J34" i="1" s="1"/>
  <c r="D38" i="3"/>
  <c r="I31" i="1"/>
  <c r="D38" i="2"/>
</calcChain>
</file>

<file path=xl/sharedStrings.xml><?xml version="1.0" encoding="utf-8"?>
<sst xmlns="http://schemas.openxmlformats.org/spreadsheetml/2006/main" count="209" uniqueCount="64">
  <si>
    <t>固定資産税・都市計画税　日割清算表</t>
  </si>
  <si>
    <t>★ 黄色のセルに数値を入力してください</t>
  </si>
  <si>
    <t>物件名</t>
  </si>
  <si>
    <t/>
  </si>
  <si>
    <t>引渡日</t>
  </si>
  <si>
    <t>【自動計算】</t>
  </si>
  <si>
    <t>年間日数</t>
  </si>
  <si>
    <t>日</t>
  </si>
  <si>
    <t>売主負担日数</t>
  </si>
  <si>
    <t>買主負担日数</t>
  </si>
  <si>
    <t>売主負担期間</t>
  </si>
  <si>
    <t>買主負担期間</t>
  </si>
  <si>
    <t>※ F〜K列は自動計算です。入力不要です。</t>
  </si>
  <si>
    <t>　◆ 土地（最大3件）</t>
  </si>
  <si>
    <t>名称</t>
  </si>
  <si>
    <t>固定資産税 年額（円）</t>
  </si>
  <si>
    <t>都市計画税 年額（円）</t>
  </si>
  <si>
    <t>持分 分子</t>
  </si>
  <si>
    <t>持分 分母</t>
  </si>
  <si>
    <t>按分後 固定資産税</t>
  </si>
  <si>
    <t>按分後 都市計画税</t>
  </si>
  <si>
    <t>売主負担 固定</t>
  </si>
  <si>
    <t>売主負担 都計</t>
  </si>
  <si>
    <t>買主負担 固定</t>
  </si>
  <si>
    <t>買主負担 都計</t>
  </si>
  <si>
    <t>土地①</t>
  </si>
  <si>
    <t>土地②</t>
  </si>
  <si>
    <t>土地③</t>
  </si>
  <si>
    <t>土地 小計</t>
  </si>
  <si>
    <t>　◆ 建物（最大3件）</t>
  </si>
  <si>
    <t>（持分なし）</t>
  </si>
  <si>
    <t>建物①</t>
  </si>
  <si>
    <t>—</t>
  </si>
  <si>
    <t>建物②</t>
  </si>
  <si>
    <t>建物③</t>
  </si>
  <si>
    <t>建物 小計</t>
  </si>
  <si>
    <t>　◆ 精算合計（土地＋建物）</t>
  </si>
  <si>
    <t>按分後年税額</t>
  </si>
  <si>
    <t>売主負担合計</t>
  </si>
  <si>
    <t>買主負担合計</t>
  </si>
  <si>
    <t>精算金（買主→売主）</t>
  </si>
  <si>
    <t>円</t>
  </si>
  <si>
    <t>【計算条件】起算日：1月1日　引渡日の負担：買主負担　端数処理：四捨五入</t>
  </si>
  <si>
    <t>固定資産税・都市計画税　精算書</t>
  </si>
  <si>
    <t>売主様　控え</t>
  </si>
  <si>
    <t>対象年度</t>
  </si>
  <si>
    <t>　精算内訳</t>
  </si>
  <si>
    <t>区分</t>
  </si>
  <si>
    <t>負担期間</t>
  </si>
  <si>
    <t>固定資産税（円）</t>
  </si>
  <si>
    <t>都市計画税（円）</t>
  </si>
  <si>
    <t>合計（円）</t>
  </si>
  <si>
    <t>　年税額</t>
  </si>
  <si>
    <t>　売主負担</t>
  </si>
  <si>
    <t>　買主負担</t>
  </si>
  <si>
    <t>　精算合計（土地＋建物）</t>
  </si>
  <si>
    <t>← ご受取額</t>
  </si>
  <si>
    <t>買主のお支払額</t>
  </si>
  <si>
    <t>精算金（受取）</t>
  </si>
  <si>
    <t>起算日：1月1日　｜　引渡日の負担：買主負担　｜　端数処理：四捨五入</t>
  </si>
  <si>
    <t>買主様　控え</t>
  </si>
  <si>
    <t>売主のご受取額</t>
  </si>
  <si>
    <t>← お支払額</t>
  </si>
  <si>
    <t>精算金（お支払い）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</si>
</sst>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&quot;日&quot;"/>
    <numFmt numFmtId="177" formatCode="&quot;¥&quot;#,##0"/>
  </numFmts>
  <fonts count="85">
    <font>
      <sz val="11"/>
      <name val="Calibri"/>
    </font>
    <font>
      <b/>
      <sz val="16"/>
      <color rgb="FFFFFFFF"/>
      <name val="メイリオ"/>
      <family val="2"/>
      <charset val="128"/>
    </font>
    <font>
      <sz val="11"/>
      <color rgb="FFB45309"/>
      <name val="メイリオ"/>
      <family val="2"/>
      <charset val="128"/>
    </font>
    <font>
      <b/>
      <sz val="10"/>
      <color rgb="FF1E3A6E"/>
      <name val="メイリオ"/>
      <family val="2"/>
      <charset val="128"/>
    </font>
    <font>
      <sz val="11"/>
      <name val="メイリオ"/>
      <family val="2"/>
      <charset val="128"/>
    </font>
    <font>
      <b/>
      <sz val="10"/>
      <color rgb="FF1E3A6E"/>
      <name val="メイリオ"/>
      <family val="2"/>
      <charset val="128"/>
    </font>
    <font>
      <sz val="11"/>
      <name val="メイリオ"/>
      <family val="2"/>
      <charset val="128"/>
    </font>
    <font>
      <b/>
      <sz val="10"/>
      <color rgb="FF555555"/>
      <name val="メイリオ"/>
      <family val="2"/>
      <charset val="128"/>
    </font>
    <font>
      <sz val="10"/>
      <name val="メイリオ"/>
      <family val="2"/>
      <charset val="128"/>
    </font>
    <font>
      <sz val="10"/>
      <name val="メイリオ"/>
      <family val="2"/>
      <charset val="128"/>
    </font>
    <font>
      <sz val="10"/>
      <name val="メイリオ"/>
      <family val="2"/>
      <charset val="128"/>
    </font>
    <font>
      <sz val="10"/>
      <name val="メイリオ"/>
      <family val="2"/>
      <charset val="128"/>
    </font>
    <font>
      <sz val="10"/>
      <name val="メイリオ"/>
      <family val="2"/>
      <charset val="128"/>
    </font>
    <font>
      <sz val="9"/>
      <color rgb="FF888888"/>
      <name val="メイリオ"/>
      <family val="2"/>
      <charset val="128"/>
    </font>
    <font>
      <b/>
      <sz val="10"/>
      <color rgb="FFFFFFFF"/>
      <name val="メイリオ"/>
      <family val="2"/>
      <charset val="128"/>
    </font>
    <font>
      <b/>
      <sz val="9"/>
      <color rgb="FFFFFFFF"/>
      <name val="メイリオ"/>
      <family val="2"/>
      <charset val="128"/>
    </font>
    <font>
      <b/>
      <sz val="9"/>
      <color rgb="FFFFFFFF"/>
      <name val="メイリオ"/>
      <family val="2"/>
      <charset val="128"/>
    </font>
    <font>
      <b/>
      <sz val="9"/>
      <color rgb="FFFFFFFF"/>
      <name val="メイリオ"/>
      <family val="2"/>
      <charset val="128"/>
    </font>
    <font>
      <b/>
      <sz val="9"/>
      <color rgb="FFFFFFFF"/>
      <name val="メイリオ"/>
      <family val="2"/>
      <charset val="128"/>
    </font>
    <font>
      <b/>
      <sz val="9"/>
      <color rgb="FFFFFFFF"/>
      <name val="メイリオ"/>
      <family val="2"/>
      <charset val="128"/>
    </font>
    <font>
      <sz val="11"/>
      <name val="メイリオ"/>
      <family val="2"/>
      <charset val="128"/>
    </font>
    <font>
      <sz val="11"/>
      <name val="メイリオ"/>
      <family val="2"/>
      <charset val="128"/>
    </font>
    <font>
      <sz val="11"/>
      <name val="メイリオ"/>
      <family val="2"/>
      <charset val="128"/>
    </font>
    <font>
      <sz val="10"/>
      <name val="メイリオ"/>
      <family val="2"/>
      <charset val="128"/>
    </font>
    <font>
      <sz val="10"/>
      <name val="メイリオ"/>
      <family val="2"/>
      <charset val="128"/>
    </font>
    <font>
      <sz val="10"/>
      <name val="メイリオ"/>
      <family val="2"/>
      <charset val="128"/>
    </font>
    <font>
      <sz val="10"/>
      <name val="メイリオ"/>
      <family val="2"/>
      <charset val="128"/>
    </font>
    <font>
      <sz val="10"/>
      <name val="メイリオ"/>
      <family val="2"/>
      <charset val="128"/>
    </font>
    <font>
      <b/>
      <sz val="10"/>
      <color rgb="FF1E3A6E"/>
      <name val="メイリオ"/>
      <family val="2"/>
      <charset val="128"/>
    </font>
    <font>
      <sz val="9"/>
      <color rgb="FF999999"/>
      <name val="メイリオ"/>
      <family val="2"/>
      <charset val="128"/>
    </font>
    <font>
      <sz val="9"/>
      <color rgb="FF999999"/>
      <name val="メイリオ"/>
      <family val="2"/>
      <charset val="128"/>
    </font>
    <font>
      <b/>
      <sz val="10"/>
      <name val="メイリオ"/>
      <family val="2"/>
      <charset val="128"/>
    </font>
    <font>
      <b/>
      <sz val="10"/>
      <color rgb="FFFFFFFF"/>
      <name val="メイリオ"/>
      <family val="2"/>
      <charset val="128"/>
    </font>
    <font>
      <b/>
      <sz val="9"/>
      <color rgb="FFFFFFFF"/>
      <name val="メイリオ"/>
      <family val="2"/>
      <charset val="128"/>
    </font>
    <font>
      <b/>
      <sz val="10"/>
      <color rgb="FF1E3A6E"/>
      <name val="メイリオ"/>
      <family val="2"/>
      <charset val="128"/>
    </font>
    <font>
      <b/>
      <sz val="10"/>
      <name val="メイリオ"/>
      <family val="2"/>
      <charset val="128"/>
    </font>
    <font>
      <b/>
      <sz val="10"/>
      <color rgb="FFFFFFFF"/>
      <name val="メイリオ"/>
      <family val="2"/>
      <charset val="128"/>
    </font>
    <font>
      <b/>
      <sz val="10"/>
      <color rgb="FF1E3A6E"/>
      <name val="メイリオ"/>
      <family val="2"/>
      <charset val="128"/>
    </font>
    <font>
      <b/>
      <sz val="11"/>
      <color rgb="FF065F46"/>
      <name val="メイリオ"/>
      <family val="2"/>
      <charset val="128"/>
    </font>
    <font>
      <b/>
      <sz val="11"/>
      <color rgb="FF065F46"/>
      <name val="メイリオ"/>
      <family val="2"/>
      <charset val="128"/>
    </font>
    <font>
      <b/>
      <sz val="10"/>
      <color rgb="FF1E3A6E"/>
      <name val="メイリオ"/>
      <family val="2"/>
      <charset val="128"/>
    </font>
    <font>
      <b/>
      <sz val="12"/>
      <color rgb="FF78350F"/>
      <name val="メイリオ"/>
      <family val="2"/>
      <charset val="128"/>
    </font>
    <font>
      <b/>
      <sz val="14"/>
      <color rgb="FF78350F"/>
      <name val="メイリオ"/>
      <family val="2"/>
      <charset val="128"/>
    </font>
    <font>
      <b/>
      <sz val="12"/>
      <color rgb="FF78350F"/>
      <name val="メイリオ"/>
      <family val="2"/>
      <charset val="128"/>
    </font>
    <font>
      <sz val="9"/>
      <color rgb="FFAAAAAA"/>
      <name val="メイリオ"/>
      <family val="2"/>
      <charset val="128"/>
    </font>
    <font>
      <b/>
      <sz val="17"/>
      <color rgb="FFFFFFFF"/>
      <name val="メイリオ"/>
      <family val="2"/>
      <charset val="128"/>
    </font>
    <font>
      <b/>
      <sz val="12"/>
      <color rgb="FF1E3A6E"/>
      <name val="メイリオ"/>
      <family val="2"/>
      <charset val="128"/>
    </font>
    <font>
      <b/>
      <sz val="10"/>
      <color rgb="FF1E3A6E"/>
      <name val="メイリオ"/>
      <family val="2"/>
      <charset val="128"/>
    </font>
    <font>
      <sz val="11"/>
      <name val="メイリオ"/>
      <family val="2"/>
      <charset val="128"/>
    </font>
    <font>
      <b/>
      <sz val="10"/>
      <color rgb="FF1E3A6E"/>
      <name val="メイリオ"/>
      <family val="2"/>
      <charset val="128"/>
    </font>
    <font>
      <sz val="10"/>
      <name val="メイリオ"/>
      <family val="2"/>
      <charset val="128"/>
    </font>
    <font>
      <sz val="10"/>
      <name val="メイリオ"/>
      <family val="2"/>
      <charset val="128"/>
    </font>
    <font>
      <sz val="10"/>
      <name val="メイリオ"/>
      <family val="2"/>
      <charset val="128"/>
    </font>
    <font>
      <sz val="10"/>
      <name val="メイリオ"/>
      <family val="2"/>
      <charset val="128"/>
    </font>
    <font>
      <b/>
      <sz val="10"/>
      <color rgb="FFFFFFFF"/>
      <name val="メイリオ"/>
      <family val="2"/>
      <charset val="128"/>
    </font>
    <font>
      <sz val="10"/>
      <color rgb="FF777777"/>
      <name val="メイリオ"/>
      <family val="2"/>
      <charset val="128"/>
    </font>
    <font>
      <sz val="10"/>
      <color rgb="FF777777"/>
      <name val="メイリオ"/>
      <family val="2"/>
      <charset val="128"/>
    </font>
    <font>
      <b/>
      <sz val="10"/>
      <name val="メイリオ"/>
      <family val="2"/>
      <charset val="128"/>
    </font>
    <font>
      <sz val="8"/>
      <color rgb="FF777777"/>
      <name val="メイリオ"/>
      <family val="2"/>
      <charset val="128"/>
    </font>
    <font>
      <sz val="10"/>
      <name val="メイリオ"/>
      <family val="2"/>
      <charset val="128"/>
    </font>
    <font>
      <sz val="10"/>
      <name val="メイリオ"/>
      <family val="2"/>
      <charset val="128"/>
    </font>
    <font>
      <sz val="8"/>
      <color rgb="FF777777"/>
      <name val="メイリオ"/>
      <family val="2"/>
      <charset val="128"/>
    </font>
    <font>
      <sz val="10"/>
      <name val="メイリオ"/>
      <family val="2"/>
      <charset val="128"/>
    </font>
    <font>
      <sz val="10"/>
      <color rgb="FF777777"/>
      <name val="メイリオ"/>
      <family val="2"/>
      <charset val="128"/>
    </font>
    <font>
      <sz val="10"/>
      <color rgb="FF777777"/>
      <name val="メイリオ"/>
      <family val="2"/>
      <charset val="128"/>
    </font>
    <font>
      <sz val="10"/>
      <name val="メイリオ"/>
      <family val="2"/>
      <charset val="128"/>
    </font>
    <font>
      <b/>
      <sz val="11"/>
      <color rgb="FF065F46"/>
      <name val="メイリオ"/>
      <family val="2"/>
      <charset val="128"/>
    </font>
    <font>
      <b/>
      <sz val="10"/>
      <color rgb="FFB45309"/>
      <name val="メイリオ"/>
      <family val="2"/>
      <charset val="128"/>
    </font>
    <font>
      <b/>
      <sz val="12"/>
      <color rgb="FF065F46"/>
      <name val="メイリオ"/>
      <family val="2"/>
      <charset val="128"/>
    </font>
    <font>
      <b/>
      <sz val="11"/>
      <color rgb="FF065F46"/>
      <name val="メイリオ"/>
      <family val="2"/>
      <charset val="128"/>
    </font>
    <font>
      <sz val="10"/>
      <color rgb="FF888888"/>
      <name val="メイリオ"/>
      <family val="2"/>
      <charset val="128"/>
    </font>
    <font>
      <b/>
      <sz val="12"/>
      <color rgb="FF065F46"/>
      <name val="メイリオ"/>
      <family val="2"/>
      <charset val="128"/>
    </font>
    <font>
      <b/>
      <sz val="12"/>
      <color rgb="FF78350F"/>
      <name val="メイリオ"/>
      <family val="2"/>
      <charset val="128"/>
    </font>
    <font>
      <b/>
      <sz val="16"/>
      <color rgb="FF78350F"/>
      <name val="メイリオ"/>
      <family val="2"/>
      <charset val="128"/>
    </font>
    <font>
      <sz val="9"/>
      <color rgb="FFAAAAAA"/>
      <name val="メイリオ"/>
      <family val="2"/>
      <charset val="128"/>
    </font>
    <font>
      <sz val="10"/>
      <name val="メイリオ"/>
      <family val="2"/>
      <charset val="128"/>
    </font>
    <font>
      <b/>
      <sz val="10"/>
      <name val="メイリオ"/>
      <family val="2"/>
      <charset val="128"/>
    </font>
    <font>
      <sz val="8"/>
      <color rgb="FF777777"/>
      <name val="メイリオ"/>
      <family val="2"/>
      <charset val="128"/>
    </font>
    <font>
      <sz val="10"/>
      <name val="メイリオ"/>
      <family val="2"/>
      <charset val="128"/>
    </font>
    <font>
      <b/>
      <sz val="11"/>
      <color rgb="FF065F46"/>
      <name val="メイリオ"/>
      <family val="2"/>
      <charset val="128"/>
    </font>
    <font>
      <b/>
      <sz val="10"/>
      <color rgb="FFB45309"/>
      <name val="メイリオ"/>
      <family val="2"/>
      <charset val="128"/>
    </font>
    <font>
      <b/>
      <sz val="12"/>
      <color rgb="FF065F46"/>
      <name val="メイリオ"/>
      <family val="2"/>
      <charset val="128"/>
    </font>
    <font>
      <b/>
      <sz val="12"/>
      <color rgb="FF9F1239"/>
      <name val="メイリオ"/>
      <family val="2"/>
      <charset val="128"/>
    </font>
    <font>
      <b/>
      <sz val="16"/>
      <color rgb="FF9F1239"/>
      <name val="メイリオ"/>
      <family val="2"/>
      <charset val="128"/>
    </font>
    <font>
      <sz val="6"/>
      <name val="Tsukushi A Round Gothic Bold"/>
      <family val="3"/>
      <charset val="128"/>
    </font>
  </fonts>
  <fills count="81">
    <fill>
      <patternFill patternType="none"/>
    </fill>
    <fill>
      <patternFill patternType="gray125"/>
    </fill>
    <fill>
      <patternFill patternType="solid">
        <fgColor rgb="FF1E3A6E"/>
      </patternFill>
    </fill>
    <fill>
      <patternFill patternType="solid">
        <fgColor rgb="FFFEF9C3"/>
      </patternFill>
    </fill>
    <fill>
      <patternFill patternType="solid">
        <fgColor rgb="FFDBEAFE"/>
      </patternFill>
    </fill>
    <fill>
      <patternFill patternType="solid">
        <fgColor rgb="FFFEFCE8"/>
      </patternFill>
    </fill>
    <fill>
      <patternFill patternType="solid">
        <fgColor rgb="FFDBEAFE"/>
      </patternFill>
    </fill>
    <fill>
      <patternFill patternType="solid">
        <fgColor rgb="FFFEFCE8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EFF6FF"/>
      </patternFill>
    </fill>
    <fill>
      <patternFill patternType="solid">
        <fgColor rgb="FFEFF6FF"/>
      </patternFill>
    </fill>
    <fill>
      <patternFill patternType="solid">
        <fgColor rgb="FFEFF6FF"/>
      </patternFill>
    </fill>
    <fill>
      <patternFill patternType="solid">
        <fgColor rgb="FF2563EB"/>
      </patternFill>
    </fill>
    <fill>
      <patternFill patternType="solid">
        <fgColor rgb="FF334E6E"/>
      </patternFill>
    </fill>
    <fill>
      <patternFill patternType="solid">
        <fgColor rgb="FF334E6E"/>
      </patternFill>
    </fill>
    <fill>
      <patternFill patternType="solid">
        <fgColor rgb="FF1D4ED8"/>
      </patternFill>
    </fill>
    <fill>
      <patternFill patternType="solid">
        <fgColor rgb="FF065F46"/>
      </patternFill>
    </fill>
    <fill>
      <patternFill patternType="solid">
        <fgColor rgb="FF7C3AED"/>
      </patternFill>
    </fill>
    <fill>
      <patternFill patternType="solid">
        <fgColor rgb="FFFEFCE8"/>
      </patternFill>
    </fill>
    <fill>
      <patternFill patternType="solid">
        <fgColor rgb="FFFEFCE8"/>
      </patternFill>
    </fill>
    <fill>
      <patternFill patternType="solid">
        <fgColor rgb="FFFEFCE8"/>
      </patternFill>
    </fill>
    <fill>
      <patternFill patternType="solid">
        <fgColor rgb="FFFEFCE8"/>
      </patternFill>
    </fill>
    <fill>
      <patternFill patternType="solid">
        <fgColor rgb="FFFEFCE8"/>
      </patternFill>
    </fill>
    <fill>
      <patternFill patternType="solid">
        <fgColor rgb="FFD1FAE5"/>
      </patternFill>
    </fill>
    <fill>
      <patternFill patternType="solid">
        <fgColor rgb="FFD1FAE5"/>
      </patternFill>
    </fill>
    <fill>
      <patternFill patternType="solid">
        <fgColor rgb="FFEDE9FE"/>
      </patternFill>
    </fill>
    <fill>
      <patternFill patternType="solid">
        <fgColor rgb="FFBFDBFE"/>
      </patternFill>
    </fill>
    <fill>
      <patternFill patternType="solid">
        <fgColor rgb="FFF3F4F6"/>
      </patternFill>
    </fill>
    <fill>
      <patternFill patternType="solid">
        <fgColor rgb="FFF3F4F6"/>
      </patternFill>
    </fill>
    <fill>
      <patternFill patternType="solid">
        <fgColor rgb="FFBFDBFE"/>
      </patternFill>
    </fill>
    <fill>
      <patternFill patternType="solid">
        <fgColor rgb="FF7C3AED"/>
      </patternFill>
    </fill>
    <fill>
      <patternFill patternType="solid">
        <fgColor rgb="FF4B5563"/>
      </patternFill>
    </fill>
    <fill>
      <patternFill patternType="solid">
        <fgColor rgb="FFDDD6FE"/>
      </patternFill>
    </fill>
    <fill>
      <patternFill patternType="solid">
        <fgColor rgb="FFDDD6FE"/>
      </patternFill>
    </fill>
    <fill>
      <patternFill patternType="solid">
        <fgColor rgb="FF0F766E"/>
      </patternFill>
    </fill>
    <fill>
      <patternFill patternType="solid">
        <fgColor rgb="FFD1FAE5"/>
      </patternFill>
    </fill>
    <fill>
      <patternFill patternType="solid">
        <fgColor rgb="FFD1FAE5"/>
      </patternFill>
    </fill>
    <fill>
      <patternFill patternType="solid">
        <fgColor rgb="FFD1FAE5"/>
      </patternFill>
    </fill>
    <fill>
      <patternFill patternType="solid">
        <fgColor rgb="FFEDE9FE"/>
      </patternFill>
    </fill>
    <fill>
      <patternFill patternType="solid">
        <fgColor rgb="FFFEF9C3"/>
      </patternFill>
    </fill>
    <fill>
      <patternFill patternType="solid">
        <fgColor rgb="FFFEF9C3"/>
      </patternFill>
    </fill>
    <fill>
      <patternFill patternType="solid">
        <fgColor rgb="FFFEF9C3"/>
      </patternFill>
    </fill>
    <fill>
      <patternFill patternType="solid">
        <fgColor rgb="FF1E3A6E"/>
      </patternFill>
    </fill>
    <fill>
      <patternFill patternType="solid">
        <fgColor rgb="FFDBEAFE"/>
      </patternFill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E3A6E"/>
      </patternFill>
    </fill>
    <fill>
      <patternFill patternType="solid">
        <fgColor rgb="FFEFF6FF"/>
      </patternFill>
    </fill>
    <fill>
      <patternFill patternType="solid">
        <fgColor rgb="FFEFF6FF"/>
      </patternFill>
    </fill>
    <fill>
      <patternFill patternType="solid">
        <fgColor rgb="FFFEFCE8"/>
      </patternFill>
    </fill>
    <fill>
      <patternFill patternType="solid">
        <fgColor rgb="FFFEFCE8"/>
      </patternFill>
    </fill>
    <fill>
      <patternFill patternType="solid">
        <fgColor rgb="FFFEFCE8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5F3FF"/>
      </patternFill>
    </fill>
    <fill>
      <patternFill patternType="solid">
        <fgColor rgb="FFF5F3FF"/>
      </patternFill>
    </fill>
    <fill>
      <patternFill patternType="solid">
        <fgColor rgb="FFF5F3FF"/>
      </patternFill>
    </fill>
    <fill>
      <patternFill patternType="solid">
        <fgColor rgb="FFFEFCE8"/>
      </patternFill>
    </fill>
    <fill>
      <patternFill patternType="solid">
        <fgColor rgb="FFFEFCE8"/>
      </patternFill>
    </fill>
    <fill>
      <patternFill patternType="solid">
        <fgColor rgb="FFFEFCE8"/>
      </patternFill>
    </fill>
    <fill>
      <patternFill patternType="solid">
        <fgColor rgb="FFF0FDF4"/>
      </patternFill>
    </fill>
    <fill>
      <patternFill patternType="solid">
        <fgColor rgb="FFF0FDF4"/>
      </patternFill>
    </fill>
    <fill>
      <patternFill patternType="solid">
        <fgColor rgb="FFF0FDF4"/>
      </patternFill>
    </fill>
    <fill>
      <patternFill patternType="solid">
        <fgColor rgb="FFFEFCE8"/>
      </patternFill>
    </fill>
    <fill>
      <patternFill patternType="solid">
        <fgColor rgb="FFFEFCE8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FFF7ED"/>
      </patternFill>
    </fill>
    <fill>
      <patternFill patternType="solid">
        <fgColor rgb="FFFFF7ED"/>
      </patternFill>
    </fill>
    <fill>
      <patternFill patternType="solid">
        <fgColor rgb="FFFFF7ED"/>
      </patternFill>
    </fill>
    <fill>
      <patternFill patternType="solid">
        <fgColor rgb="FFFFF7ED"/>
      </patternFill>
    </fill>
    <fill>
      <patternFill patternType="solid">
        <fgColor rgb="FFFFF7ED"/>
      </patternFill>
    </fill>
    <fill>
      <patternFill patternType="solid">
        <fgColor rgb="FFFFF1F2"/>
      </patternFill>
    </fill>
    <fill>
      <patternFill patternType="solid">
        <fgColor rgb="FFFFF1F2"/>
      </patternFill>
    </fill>
  </fills>
  <borders count="71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medium">
        <color rgb="FFD97706"/>
      </left>
      <right style="medium">
        <color rgb="FFD97706"/>
      </right>
      <top style="medium">
        <color rgb="FFD97706"/>
      </top>
      <bottom style="medium">
        <color rgb="FFD97706"/>
      </bottom>
      <diagonal/>
    </border>
    <border>
      <left style="medium">
        <color rgb="FFD97706"/>
      </left>
      <right style="medium">
        <color rgb="FFD97706"/>
      </right>
      <top style="medium">
        <color rgb="FFD97706"/>
      </top>
      <bottom style="medium">
        <color rgb="FFD97706"/>
      </bottom>
      <diagonal/>
    </border>
    <border>
      <left style="medium">
        <color rgb="FFD97706"/>
      </left>
      <right style="medium">
        <color rgb="FFD97706"/>
      </right>
      <top style="medium">
        <color rgb="FFD97706"/>
      </top>
      <bottom style="medium">
        <color rgb="FFD97706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medium">
        <color rgb="FFD97706"/>
      </left>
      <right style="medium">
        <color rgb="FFD97706"/>
      </right>
      <top style="medium">
        <color rgb="FFD97706"/>
      </top>
      <bottom style="medium">
        <color rgb="FFD97706"/>
      </bottom>
      <diagonal/>
    </border>
    <border>
      <left style="medium">
        <color rgb="FFD97706"/>
      </left>
      <right style="medium">
        <color rgb="FFD97706"/>
      </right>
      <top style="medium">
        <color rgb="FFD97706"/>
      </top>
      <bottom style="medium">
        <color rgb="FFD97706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medium">
        <color rgb="FFE11D48"/>
      </left>
      <right style="medium">
        <color rgb="FFE11D48"/>
      </right>
      <top style="medium">
        <color rgb="FFE11D48"/>
      </top>
      <bottom style="medium">
        <color rgb="FFE11D48"/>
      </bottom>
      <diagonal/>
    </border>
    <border>
      <left style="medium">
        <color rgb="FFE11D48"/>
      </left>
      <right style="medium">
        <color rgb="FFE11D48"/>
      </right>
      <top style="medium">
        <color rgb="FFE11D48"/>
      </top>
      <bottom style="medium">
        <color rgb="FFE11D48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3" fontId="8" fillId="9" borderId="5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3" fontId="10" fillId="10" borderId="6" xfId="0" applyNumberFormat="1" applyFont="1" applyFill="1" applyBorder="1" applyAlignment="1">
      <alignment horizontal="right" vertical="center"/>
    </xf>
    <xf numFmtId="0" fontId="15" fillId="14" borderId="9" xfId="0" applyFont="1" applyFill="1" applyBorder="1" applyAlignment="1">
      <alignment horizontal="center" vertical="center"/>
    </xf>
    <xf numFmtId="0" fontId="16" fillId="15" borderId="10" xfId="0" applyFont="1" applyFill="1" applyBorder="1" applyAlignment="1">
      <alignment horizontal="center" vertical="center"/>
    </xf>
    <xf numFmtId="0" fontId="17" fillId="16" borderId="11" xfId="0" applyFont="1" applyFill="1" applyBorder="1" applyAlignment="1">
      <alignment horizontal="center" vertical="center"/>
    </xf>
    <xf numFmtId="0" fontId="18" fillId="17" borderId="12" xfId="0" applyFont="1" applyFill="1" applyBorder="1" applyAlignment="1">
      <alignment horizontal="center" vertical="center"/>
    </xf>
    <xf numFmtId="0" fontId="19" fillId="18" borderId="13" xfId="0" applyFont="1" applyFill="1" applyBorder="1" applyAlignment="1">
      <alignment horizontal="center" vertical="center"/>
    </xf>
    <xf numFmtId="0" fontId="20" fillId="19" borderId="14" xfId="0" applyFont="1" applyFill="1" applyBorder="1" applyAlignment="1">
      <alignment horizontal="left" vertical="center"/>
    </xf>
    <xf numFmtId="3" fontId="21" fillId="20" borderId="15" xfId="0" applyNumberFormat="1" applyFont="1" applyFill="1" applyBorder="1" applyAlignment="1">
      <alignment horizontal="center" vertical="center"/>
    </xf>
    <xf numFmtId="3" fontId="22" fillId="21" borderId="16" xfId="0" applyNumberFormat="1" applyFont="1" applyFill="1" applyBorder="1" applyAlignment="1">
      <alignment horizontal="center" vertical="center"/>
    </xf>
    <xf numFmtId="1" fontId="23" fillId="22" borderId="17" xfId="0" applyNumberFormat="1" applyFont="1" applyFill="1" applyBorder="1" applyAlignment="1">
      <alignment horizontal="center" vertical="center"/>
    </xf>
    <xf numFmtId="1" fontId="24" fillId="23" borderId="18" xfId="0" applyNumberFormat="1" applyFont="1" applyFill="1" applyBorder="1" applyAlignment="1">
      <alignment horizontal="center" vertical="center"/>
    </xf>
    <xf numFmtId="3" fontId="25" fillId="24" borderId="19" xfId="0" applyNumberFormat="1" applyFont="1" applyFill="1" applyBorder="1" applyAlignment="1">
      <alignment horizontal="right" vertical="center"/>
    </xf>
    <xf numFmtId="3" fontId="26" fillId="25" borderId="20" xfId="0" applyNumberFormat="1" applyFont="1" applyFill="1" applyBorder="1" applyAlignment="1">
      <alignment horizontal="right" vertical="center"/>
    </xf>
    <xf numFmtId="3" fontId="27" fillId="26" borderId="21" xfId="0" applyNumberFormat="1" applyFont="1" applyFill="1" applyBorder="1" applyAlignment="1">
      <alignment horizontal="right" vertical="center"/>
    </xf>
    <xf numFmtId="0" fontId="28" fillId="27" borderId="22" xfId="0" applyFont="1" applyFill="1" applyBorder="1" applyAlignment="1">
      <alignment horizontal="center" vertical="center"/>
    </xf>
    <xf numFmtId="0" fontId="29" fillId="28" borderId="23" xfId="0" applyFont="1" applyFill="1" applyBorder="1" applyAlignment="1">
      <alignment horizontal="center" vertical="center"/>
    </xf>
    <xf numFmtId="0" fontId="30" fillId="29" borderId="24" xfId="0" applyFont="1" applyFill="1" applyBorder="1" applyAlignment="1">
      <alignment horizontal="center" vertical="center"/>
    </xf>
    <xf numFmtId="3" fontId="31" fillId="30" borderId="25" xfId="0" applyNumberFormat="1" applyFont="1" applyFill="1" applyBorder="1" applyAlignment="1">
      <alignment horizontal="right" vertical="center"/>
    </xf>
    <xf numFmtId="0" fontId="33" fillId="32" borderId="26" xfId="0" applyFont="1" applyFill="1" applyBorder="1" applyAlignment="1">
      <alignment horizontal="center" vertical="center"/>
    </xf>
    <xf numFmtId="0" fontId="34" fillId="33" borderId="27" xfId="0" applyFont="1" applyFill="1" applyBorder="1" applyAlignment="1">
      <alignment horizontal="center" vertical="center"/>
    </xf>
    <xf numFmtId="3" fontId="35" fillId="34" borderId="28" xfId="0" applyNumberFormat="1" applyFont="1" applyFill="1" applyBorder="1" applyAlignment="1">
      <alignment horizontal="right" vertical="center"/>
    </xf>
    <xf numFmtId="0" fontId="37" fillId="36" borderId="29" xfId="0" applyFont="1" applyFill="1" applyBorder="1" applyAlignment="1">
      <alignment horizontal="center" vertical="center"/>
    </xf>
    <xf numFmtId="3" fontId="38" fillId="37" borderId="30" xfId="0" applyNumberFormat="1" applyFont="1" applyFill="1" applyBorder="1" applyAlignment="1">
      <alignment horizontal="right" vertical="center"/>
    </xf>
    <xf numFmtId="3" fontId="39" fillId="38" borderId="31" xfId="0" applyNumberFormat="1" applyFont="1" applyFill="1" applyBorder="1" applyAlignment="1">
      <alignment horizontal="right" vertical="center"/>
    </xf>
    <xf numFmtId="0" fontId="40" fillId="39" borderId="32" xfId="0" applyFont="1" applyFill="1" applyBorder="1" applyAlignment="1">
      <alignment horizontal="center" vertical="center"/>
    </xf>
    <xf numFmtId="0" fontId="43" fillId="42" borderId="35" xfId="0" applyFont="1" applyFill="1" applyBorder="1" applyAlignment="1">
      <alignment horizontal="left" vertical="center"/>
    </xf>
    <xf numFmtId="0" fontId="47" fillId="45" borderId="36" xfId="0" applyFont="1" applyFill="1" applyBorder="1" applyAlignment="1">
      <alignment horizontal="center" vertical="center"/>
    </xf>
    <xf numFmtId="0" fontId="49" fillId="47" borderId="38" xfId="0" applyFont="1" applyFill="1" applyBorder="1" applyAlignment="1">
      <alignment horizontal="center" vertical="center"/>
    </xf>
    <xf numFmtId="14" fontId="50" fillId="48" borderId="39" xfId="0" applyNumberFormat="1" applyFont="1" applyFill="1" applyBorder="1" applyAlignment="1">
      <alignment horizontal="left" vertical="center"/>
    </xf>
    <xf numFmtId="176" fontId="52" fillId="50" borderId="41" xfId="0" applyNumberFormat="1" applyFont="1" applyFill="1" applyBorder="1" applyAlignment="1">
      <alignment horizontal="right" vertical="center"/>
    </xf>
    <xf numFmtId="0" fontId="55" fillId="53" borderId="43" xfId="0" applyFont="1" applyFill="1" applyBorder="1" applyAlignment="1">
      <alignment horizontal="left" vertical="center"/>
    </xf>
    <xf numFmtId="0" fontId="56" fillId="54" borderId="44" xfId="0" applyFont="1" applyFill="1" applyBorder="1" applyAlignment="1">
      <alignment horizontal="center" vertical="center"/>
    </xf>
    <xf numFmtId="0" fontId="57" fillId="55" borderId="45" xfId="0" applyFont="1" applyFill="1" applyBorder="1" applyAlignment="1">
      <alignment horizontal="left" vertical="center"/>
    </xf>
    <xf numFmtId="0" fontId="58" fillId="56" borderId="46" xfId="0" applyFont="1" applyFill="1" applyBorder="1" applyAlignment="1">
      <alignment horizontal="left" vertical="center"/>
    </xf>
    <xf numFmtId="3" fontId="59" fillId="57" borderId="47" xfId="0" applyNumberFormat="1" applyFont="1" applyFill="1" applyBorder="1" applyAlignment="1">
      <alignment horizontal="right" vertical="center"/>
    </xf>
    <xf numFmtId="0" fontId="60" fillId="58" borderId="48" xfId="0" applyFont="1" applyFill="1" applyBorder="1" applyAlignment="1">
      <alignment horizontal="left" vertical="center"/>
    </xf>
    <xf numFmtId="0" fontId="61" fillId="59" borderId="49" xfId="0" applyFont="1" applyFill="1" applyBorder="1" applyAlignment="1">
      <alignment horizontal="left" vertical="center"/>
    </xf>
    <xf numFmtId="3" fontId="62" fillId="60" borderId="50" xfId="0" applyNumberFormat="1" applyFont="1" applyFill="1" applyBorder="1" applyAlignment="1">
      <alignment horizontal="right" vertical="center"/>
    </xf>
    <xf numFmtId="0" fontId="63" fillId="61" borderId="51" xfId="0" applyFont="1" applyFill="1" applyBorder="1" applyAlignment="1">
      <alignment horizontal="left" vertical="center"/>
    </xf>
    <xf numFmtId="0" fontId="64" fillId="62" borderId="52" xfId="0" applyFont="1" applyFill="1" applyBorder="1" applyAlignment="1">
      <alignment horizontal="center" vertical="center"/>
    </xf>
    <xf numFmtId="3" fontId="65" fillId="63" borderId="53" xfId="0" applyNumberFormat="1" applyFont="1" applyFill="1" applyBorder="1" applyAlignment="1">
      <alignment horizontal="right" vertical="center"/>
    </xf>
    <xf numFmtId="0" fontId="66" fillId="64" borderId="54" xfId="0" applyFont="1" applyFill="1" applyBorder="1" applyAlignment="1">
      <alignment horizontal="left" vertical="center"/>
    </xf>
    <xf numFmtId="0" fontId="67" fillId="65" borderId="55" xfId="0" applyFont="1" applyFill="1" applyBorder="1" applyAlignment="1">
      <alignment horizontal="center" vertical="center"/>
    </xf>
    <xf numFmtId="3" fontId="68" fillId="66" borderId="56" xfId="0" applyNumberFormat="1" applyFont="1" applyFill="1" applyBorder="1" applyAlignment="1">
      <alignment horizontal="right" vertical="center"/>
    </xf>
    <xf numFmtId="0" fontId="69" fillId="67" borderId="57" xfId="0" applyFont="1" applyFill="1" applyBorder="1" applyAlignment="1">
      <alignment horizontal="left" vertical="center"/>
    </xf>
    <xf numFmtId="0" fontId="70" fillId="68" borderId="58" xfId="0" applyFont="1" applyFill="1" applyBorder="1" applyAlignment="1">
      <alignment horizontal="center" vertical="center"/>
    </xf>
    <xf numFmtId="3" fontId="71" fillId="69" borderId="59" xfId="0" applyNumberFormat="1" applyFont="1" applyFill="1" applyBorder="1" applyAlignment="1">
      <alignment horizontal="right" vertical="center"/>
    </xf>
    <xf numFmtId="177" fontId="73" fillId="71" borderId="61" xfId="0" applyNumberFormat="1" applyFont="1" applyFill="1" applyBorder="1" applyAlignment="1">
      <alignment horizontal="center" vertical="center"/>
    </xf>
    <xf numFmtId="14" fontId="75" fillId="72" borderId="62" xfId="0" applyNumberFormat="1" applyFont="1" applyFill="1" applyBorder="1" applyAlignment="1">
      <alignment horizontal="left" vertical="center"/>
    </xf>
    <xf numFmtId="0" fontId="76" fillId="73" borderId="63" xfId="0" applyFont="1" applyFill="1" applyBorder="1" applyAlignment="1">
      <alignment horizontal="left" vertical="center"/>
    </xf>
    <xf numFmtId="0" fontId="77" fillId="74" borderId="64" xfId="0" applyFont="1" applyFill="1" applyBorder="1" applyAlignment="1">
      <alignment horizontal="left" vertical="center"/>
    </xf>
    <xf numFmtId="3" fontId="78" fillId="75" borderId="65" xfId="0" applyNumberFormat="1" applyFont="1" applyFill="1" applyBorder="1" applyAlignment="1">
      <alignment horizontal="right" vertical="center"/>
    </xf>
    <xf numFmtId="0" fontId="79" fillId="76" borderId="66" xfId="0" applyFont="1" applyFill="1" applyBorder="1" applyAlignment="1">
      <alignment horizontal="left" vertical="center"/>
    </xf>
    <xf numFmtId="0" fontId="80" fillId="77" borderId="67" xfId="0" applyFont="1" applyFill="1" applyBorder="1" applyAlignment="1">
      <alignment horizontal="center" vertical="center"/>
    </xf>
    <xf numFmtId="3" fontId="81" fillId="78" borderId="68" xfId="0" applyNumberFormat="1" applyFont="1" applyFill="1" applyBorder="1" applyAlignment="1">
      <alignment horizontal="right" vertical="center"/>
    </xf>
    <xf numFmtId="177" fontId="83" fillId="80" borderId="70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14" fontId="6" fillId="7" borderId="4" xfId="0" applyNumberFormat="1" applyFont="1" applyFill="1" applyBorder="1" applyAlignment="1">
      <alignment horizontal="left" vertical="center"/>
    </xf>
    <xf numFmtId="0" fontId="7" fillId="8" borderId="0" xfId="0" applyFont="1" applyFill="1" applyAlignment="1">
      <alignment horizontal="left" vertical="center"/>
    </xf>
    <xf numFmtId="0" fontId="11" fillId="11" borderId="7" xfId="0" applyFont="1" applyFill="1" applyBorder="1" applyAlignment="1">
      <alignment horizontal="left" vertical="center"/>
    </xf>
    <xf numFmtId="0" fontId="12" fillId="12" borderId="8" xfId="0" applyFont="1" applyFill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13" borderId="0" xfId="0" applyFont="1" applyFill="1" applyAlignment="1">
      <alignment horizontal="left" vertical="center"/>
    </xf>
    <xf numFmtId="0" fontId="32" fillId="31" borderId="0" xfId="0" applyFont="1" applyFill="1" applyAlignment="1">
      <alignment horizontal="left" vertical="center"/>
    </xf>
    <xf numFmtId="0" fontId="36" fillId="35" borderId="0" xfId="0" applyFont="1" applyFill="1" applyAlignment="1">
      <alignment horizontal="left" vertical="center"/>
    </xf>
    <xf numFmtId="0" fontId="41" fillId="40" borderId="33" xfId="0" applyFont="1" applyFill="1" applyBorder="1" applyAlignment="1">
      <alignment horizontal="center" vertical="center"/>
    </xf>
    <xf numFmtId="3" fontId="42" fillId="41" borderId="34" xfId="0" applyNumberFormat="1" applyFont="1" applyFill="1" applyBorder="1" applyAlignment="1">
      <alignment horizontal="center" vertical="center"/>
    </xf>
    <xf numFmtId="0" fontId="44" fillId="0" borderId="0" xfId="0" applyFont="1" applyAlignment="1">
      <alignment horizontal="left" vertical="center"/>
    </xf>
    <xf numFmtId="0" fontId="45" fillId="43" borderId="0" xfId="0" applyFont="1" applyFill="1" applyAlignment="1">
      <alignment horizontal="center" vertical="center"/>
    </xf>
    <xf numFmtId="0" fontId="46" fillId="44" borderId="0" xfId="0" applyFont="1" applyFill="1" applyAlignment="1">
      <alignment horizontal="right" vertical="center"/>
    </xf>
    <xf numFmtId="0" fontId="48" fillId="46" borderId="37" xfId="0" applyFont="1" applyFill="1" applyBorder="1" applyAlignment="1">
      <alignment horizontal="left" vertical="center"/>
    </xf>
    <xf numFmtId="0" fontId="51" fillId="49" borderId="40" xfId="0" applyFont="1" applyFill="1" applyBorder="1" applyAlignment="1">
      <alignment horizontal="left" vertical="center"/>
    </xf>
    <xf numFmtId="176" fontId="53" fillId="51" borderId="42" xfId="0" applyNumberFormat="1" applyFont="1" applyFill="1" applyBorder="1" applyAlignment="1">
      <alignment horizontal="right" vertical="center"/>
    </xf>
    <xf numFmtId="0" fontId="54" fillId="52" borderId="0" xfId="0" applyFont="1" applyFill="1" applyAlignment="1">
      <alignment horizontal="left" vertical="center"/>
    </xf>
    <xf numFmtId="0" fontId="72" fillId="70" borderId="60" xfId="0" applyFont="1" applyFill="1" applyBorder="1" applyAlignment="1">
      <alignment horizontal="center" vertical="center"/>
    </xf>
    <xf numFmtId="0" fontId="74" fillId="0" borderId="0" xfId="0" applyFont="1" applyAlignment="1">
      <alignment horizontal="center" vertical="center"/>
    </xf>
    <xf numFmtId="176" fontId="52" fillId="50" borderId="41" xfId="0" applyNumberFormat="1" applyFont="1" applyFill="1" applyBorder="1" applyAlignment="1">
      <alignment horizontal="right" vertical="center"/>
    </xf>
    <xf numFmtId="0" fontId="82" fillId="79" borderId="69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workbookViewId="0">
      <selection sqref="A1:K1"/>
    </sheetView>
  </sheetViews>
  <sheetFormatPr baseColWidth="10" defaultRowHeight="15"/>
  <cols>
    <col min="1" max="3" width="14.83203125" customWidth="1"/>
    <col min="4" max="5" width="9.83203125" customWidth="1"/>
    <col min="6" max="11" width="13.83203125" customWidth="1"/>
  </cols>
  <sheetData>
    <row r="1" spans="1:11" ht="34" customHeight="1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</row>
    <row r="2" spans="1:11" ht="20" customHeight="1">
      <c r="A2" s="63" t="s">
        <v>1</v>
      </c>
      <c r="B2" s="62"/>
      <c r="C2" s="62"/>
      <c r="D2" s="62"/>
      <c r="E2" s="62"/>
      <c r="F2" s="62"/>
      <c r="G2" s="62"/>
      <c r="H2" s="62"/>
      <c r="I2" s="62"/>
      <c r="J2" s="62"/>
      <c r="K2" s="62"/>
    </row>
    <row r="3" spans="1:11" ht="5" customHeight="1"/>
    <row r="4" spans="1:11" ht="22" customHeight="1">
      <c r="A4" s="1" t="s">
        <v>2</v>
      </c>
      <c r="B4" s="64" t="s">
        <v>3</v>
      </c>
      <c r="C4" s="62"/>
      <c r="D4" s="62"/>
      <c r="E4" s="62"/>
      <c r="F4" s="62"/>
      <c r="G4" s="62"/>
      <c r="H4" s="62"/>
      <c r="I4" s="62"/>
      <c r="J4" s="62"/>
      <c r="K4" s="62"/>
    </row>
    <row r="5" spans="1:11" ht="22" customHeight="1">
      <c r="A5" s="2" t="s">
        <v>4</v>
      </c>
      <c r="B5" s="65" t="s">
        <v>3</v>
      </c>
      <c r="C5" s="62"/>
      <c r="D5" s="62"/>
    </row>
    <row r="6" spans="1:11" ht="5" customHeight="1"/>
    <row r="7" spans="1:11" ht="16" customHeight="1">
      <c r="A7" s="66" t="s">
        <v>5</v>
      </c>
      <c r="B7" s="62"/>
      <c r="C7" s="62"/>
      <c r="D7" s="62"/>
      <c r="E7" s="62"/>
      <c r="F7" s="62"/>
      <c r="G7" s="62"/>
      <c r="H7" s="62"/>
      <c r="I7" s="62"/>
      <c r="J7" s="62"/>
      <c r="K7" s="62"/>
    </row>
    <row r="8" spans="1:11" ht="18" customHeight="1">
      <c r="A8" s="2" t="s">
        <v>6</v>
      </c>
      <c r="B8" s="3" t="str">
        <f>IF(B5="","",IF(MOD(YEAR(B5),400)=0,366,IF(MOD(YEAR(B5),100)=0,365,IF(MOD(YEAR(B5),4)=0,366,365))))</f>
        <v/>
      </c>
      <c r="C8" s="4" t="s">
        <v>7</v>
      </c>
    </row>
    <row r="9" spans="1:11" ht="18" customHeight="1">
      <c r="A9" s="2" t="s">
        <v>8</v>
      </c>
      <c r="B9" s="5" t="str">
        <f>IF(B5="","",B5-DATE(YEAR(B5),1,1))</f>
        <v/>
      </c>
      <c r="C9" s="4" t="s">
        <v>7</v>
      </c>
    </row>
    <row r="10" spans="1:11" ht="18" customHeight="1">
      <c r="A10" s="2" t="s">
        <v>9</v>
      </c>
      <c r="B10" s="5" t="str">
        <f>IF(B5="","",B8-B9)</f>
        <v/>
      </c>
      <c r="C10" s="4" t="s">
        <v>7</v>
      </c>
    </row>
    <row r="11" spans="1:11" ht="18" customHeight="1">
      <c r="A11" s="2" t="s">
        <v>10</v>
      </c>
      <c r="B11" s="67" t="str">
        <f>IF(B5="","",IF(B9=0,"負担なし","1月1日〜"&amp;TEXT(B5-1,"m月d日")&amp;"（"&amp;B9&amp;"日間）"))</f>
        <v/>
      </c>
      <c r="C11" s="62"/>
      <c r="D11" s="62"/>
      <c r="E11" s="62"/>
      <c r="F11" s="62"/>
      <c r="G11" s="62"/>
      <c r="H11" s="62"/>
      <c r="I11" s="62"/>
      <c r="J11" s="62"/>
      <c r="K11" s="62"/>
    </row>
    <row r="12" spans="1:11" ht="18" customHeight="1">
      <c r="A12" s="2" t="s">
        <v>11</v>
      </c>
      <c r="B12" s="68" t="str">
        <f>IF(B5="","",TEXT(B5,"m月d日")&amp;"〜12月31日（"&amp;B10&amp;"日間）")</f>
        <v/>
      </c>
      <c r="C12" s="62"/>
      <c r="D12" s="62"/>
      <c r="E12" s="62"/>
      <c r="F12" s="62"/>
      <c r="G12" s="62"/>
      <c r="H12" s="62"/>
      <c r="I12" s="62"/>
      <c r="J12" s="62"/>
      <c r="K12" s="62"/>
    </row>
    <row r="13" spans="1:11" ht="6" customHeight="1"/>
    <row r="14" spans="1:11" ht="14" customHeight="1">
      <c r="A14" s="69" t="s">
        <v>12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</row>
    <row r="15" spans="1:11" ht="20" customHeight="1">
      <c r="A15" s="70" t="s">
        <v>13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</row>
    <row r="16" spans="1:11" ht="20" customHeight="1">
      <c r="A16" s="6" t="s">
        <v>14</v>
      </c>
      <c r="B16" s="7" t="s">
        <v>15</v>
      </c>
      <c r="C16" s="7" t="s">
        <v>16</v>
      </c>
      <c r="D16" s="7" t="s">
        <v>17</v>
      </c>
      <c r="E16" s="7" t="s">
        <v>18</v>
      </c>
      <c r="F16" s="8" t="s">
        <v>19</v>
      </c>
      <c r="G16" s="8" t="s">
        <v>20</v>
      </c>
      <c r="H16" s="9" t="s">
        <v>21</v>
      </c>
      <c r="I16" s="9" t="s">
        <v>22</v>
      </c>
      <c r="J16" s="10" t="s">
        <v>23</v>
      </c>
      <c r="K16" s="10" t="s">
        <v>24</v>
      </c>
    </row>
    <row r="17" spans="1:11" ht="20" customHeight="1">
      <c r="A17" s="11" t="s">
        <v>25</v>
      </c>
      <c r="B17" s="12" t="s">
        <v>3</v>
      </c>
      <c r="C17" s="13" t="s">
        <v>3</v>
      </c>
      <c r="D17" s="14" t="s">
        <v>3</v>
      </c>
      <c r="E17" s="15" t="s">
        <v>3</v>
      </c>
      <c r="F17" s="5" t="str">
        <f>IF(B17="","",IF(AND(D17&gt;0,E17&gt;0),ROUND(B17*D17/E17,0),B17))</f>
        <v/>
      </c>
      <c r="G17" s="5" t="str">
        <f>IF(C17="","",IF(AND(D17&gt;0,E17&gt;0),ROUND(C17*D17/E17,0),C17))</f>
        <v/>
      </c>
      <c r="H17" s="16" t="str">
        <f>IF(F17="","",ROUND(F17*B9/B8,0))</f>
        <v/>
      </c>
      <c r="I17" s="17" t="str">
        <f>IF(G17="","",ROUND(G17*B9/B8,0))</f>
        <v/>
      </c>
      <c r="J17" s="18" t="str">
        <f t="shared" ref="J17:K19" si="0">IF(F17="","",F17-H17)</f>
        <v/>
      </c>
      <c r="K17" s="18" t="str">
        <f t="shared" si="0"/>
        <v/>
      </c>
    </row>
    <row r="18" spans="1:11" ht="20" customHeight="1">
      <c r="A18" s="11" t="s">
        <v>26</v>
      </c>
      <c r="B18" s="13" t="s">
        <v>3</v>
      </c>
      <c r="C18" s="13" t="s">
        <v>3</v>
      </c>
      <c r="D18" s="15" t="s">
        <v>3</v>
      </c>
      <c r="E18" s="15" t="s">
        <v>3</v>
      </c>
      <c r="F18" s="5" t="str">
        <f>IF(B18="","",IF(AND(D18&gt;0,E18&gt;0),ROUND(B18*D18/E18,0),B18))</f>
        <v/>
      </c>
      <c r="G18" s="5" t="str">
        <f>IF(C18="","",IF(AND(D18&gt;0,E18&gt;0),ROUND(C18*D18/E18,0),C18))</f>
        <v/>
      </c>
      <c r="H18" s="17" t="str">
        <f>IF(F18="","",ROUND(F18*B9/B8,0))</f>
        <v/>
      </c>
      <c r="I18" s="17" t="str">
        <f>IF(G18="","",ROUND(G18*B9/B8,0))</f>
        <v/>
      </c>
      <c r="J18" s="18" t="str">
        <f t="shared" si="0"/>
        <v/>
      </c>
      <c r="K18" s="18" t="str">
        <f t="shared" si="0"/>
        <v/>
      </c>
    </row>
    <row r="19" spans="1:11" ht="20" customHeight="1">
      <c r="A19" s="11" t="s">
        <v>27</v>
      </c>
      <c r="B19" s="13" t="s">
        <v>3</v>
      </c>
      <c r="C19" s="13" t="s">
        <v>3</v>
      </c>
      <c r="D19" s="15" t="s">
        <v>3</v>
      </c>
      <c r="E19" s="15" t="s">
        <v>3</v>
      </c>
      <c r="F19" s="5" t="str">
        <f>IF(B19="","",IF(AND(D19&gt;0,E19&gt;0),ROUND(B19*D19/E19,0),B19))</f>
        <v/>
      </c>
      <c r="G19" s="5" t="str">
        <f>IF(C19="","",IF(AND(D19&gt;0,E19&gt;0),ROUND(C19*D19/E19,0),C19))</f>
        <v/>
      </c>
      <c r="H19" s="17" t="str">
        <f>IF(F19="","",ROUND(F19*B9/B8,0))</f>
        <v/>
      </c>
      <c r="I19" s="17" t="str">
        <f>IF(G19="","",ROUND(G19*B9/B8,0))</f>
        <v/>
      </c>
      <c r="J19" s="18" t="str">
        <f t="shared" si="0"/>
        <v/>
      </c>
      <c r="K19" s="18" t="str">
        <f t="shared" si="0"/>
        <v/>
      </c>
    </row>
    <row r="20" spans="1:11" ht="20" customHeight="1">
      <c r="A20" s="19" t="s">
        <v>28</v>
      </c>
      <c r="B20" s="20" t="s">
        <v>3</v>
      </c>
      <c r="C20" s="21" t="s">
        <v>3</v>
      </c>
      <c r="D20" s="21" t="s">
        <v>3</v>
      </c>
      <c r="E20" s="21" t="s">
        <v>3</v>
      </c>
      <c r="F20" s="22">
        <f t="shared" ref="F20:K20" si="1">SUM(F17:F19)</f>
        <v>0</v>
      </c>
      <c r="G20" s="22">
        <f t="shared" si="1"/>
        <v>0</v>
      </c>
      <c r="H20" s="22">
        <f t="shared" si="1"/>
        <v>0</v>
      </c>
      <c r="I20" s="22">
        <f t="shared" si="1"/>
        <v>0</v>
      </c>
      <c r="J20" s="22">
        <f t="shared" si="1"/>
        <v>0</v>
      </c>
      <c r="K20" s="22">
        <f t="shared" si="1"/>
        <v>0</v>
      </c>
    </row>
    <row r="21" spans="1:11" ht="5" customHeight="1"/>
    <row r="22" spans="1:11" ht="20" customHeight="1">
      <c r="A22" s="71" t="s">
        <v>29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</row>
    <row r="23" spans="1:11" ht="20" customHeight="1">
      <c r="A23" s="7" t="s">
        <v>14</v>
      </c>
      <c r="B23" s="7" t="s">
        <v>15</v>
      </c>
      <c r="C23" s="7" t="s">
        <v>16</v>
      </c>
      <c r="D23" s="23" t="s">
        <v>30</v>
      </c>
      <c r="E23" s="23" t="s">
        <v>30</v>
      </c>
      <c r="F23" s="8" t="s">
        <v>19</v>
      </c>
      <c r="G23" s="8" t="s">
        <v>20</v>
      </c>
      <c r="H23" s="9" t="s">
        <v>21</v>
      </c>
      <c r="I23" s="9" t="s">
        <v>22</v>
      </c>
      <c r="J23" s="10" t="s">
        <v>23</v>
      </c>
      <c r="K23" s="10" t="s">
        <v>24</v>
      </c>
    </row>
    <row r="24" spans="1:11" ht="20" customHeight="1">
      <c r="A24" s="11" t="s">
        <v>31</v>
      </c>
      <c r="B24" s="13" t="s">
        <v>3</v>
      </c>
      <c r="C24" s="13" t="s">
        <v>3</v>
      </c>
      <c r="D24" s="21" t="s">
        <v>32</v>
      </c>
      <c r="E24" s="21" t="s">
        <v>32</v>
      </c>
      <c r="F24" s="5" t="str">
        <f t="shared" ref="F24:G26" si="2">IF(B24="","",B24)</f>
        <v/>
      </c>
      <c r="G24" s="5" t="str">
        <f t="shared" si="2"/>
        <v/>
      </c>
      <c r="H24" s="17" t="str">
        <f>IF(F24="","",ROUND(F24*B9/B8,0))</f>
        <v/>
      </c>
      <c r="I24" s="17" t="str">
        <f>IF(G24="","",ROUND(G24*B9/B8,0))</f>
        <v/>
      </c>
      <c r="J24" s="18" t="str">
        <f t="shared" ref="J24:K26" si="3">IF(F24="","",F24-H24)</f>
        <v/>
      </c>
      <c r="K24" s="18" t="str">
        <f t="shared" si="3"/>
        <v/>
      </c>
    </row>
    <row r="25" spans="1:11" ht="20" customHeight="1">
      <c r="A25" s="11" t="s">
        <v>33</v>
      </c>
      <c r="B25" s="13" t="s">
        <v>3</v>
      </c>
      <c r="C25" s="13" t="s">
        <v>3</v>
      </c>
      <c r="D25" s="21" t="s">
        <v>32</v>
      </c>
      <c r="E25" s="21" t="s">
        <v>32</v>
      </c>
      <c r="F25" s="5" t="str">
        <f t="shared" si="2"/>
        <v/>
      </c>
      <c r="G25" s="5" t="str">
        <f t="shared" si="2"/>
        <v/>
      </c>
      <c r="H25" s="17" t="str">
        <f>IF(F25="","",ROUND(F25*B9/B8,0))</f>
        <v/>
      </c>
      <c r="I25" s="17" t="str">
        <f>IF(G25="","",ROUND(G25*B9/B8,0))</f>
        <v/>
      </c>
      <c r="J25" s="18" t="str">
        <f t="shared" si="3"/>
        <v/>
      </c>
      <c r="K25" s="18" t="str">
        <f t="shared" si="3"/>
        <v/>
      </c>
    </row>
    <row r="26" spans="1:11" ht="20" customHeight="1">
      <c r="A26" s="11" t="s">
        <v>34</v>
      </c>
      <c r="B26" s="13" t="s">
        <v>3</v>
      </c>
      <c r="C26" s="13" t="s">
        <v>3</v>
      </c>
      <c r="D26" s="21" t="s">
        <v>32</v>
      </c>
      <c r="E26" s="21" t="s">
        <v>32</v>
      </c>
      <c r="F26" s="5" t="str">
        <f t="shared" si="2"/>
        <v/>
      </c>
      <c r="G26" s="5" t="str">
        <f t="shared" si="2"/>
        <v/>
      </c>
      <c r="H26" s="17" t="str">
        <f>IF(F26="","",ROUND(F26*B9/B8,0))</f>
        <v/>
      </c>
      <c r="I26" s="17" t="str">
        <f>IF(G26="","",ROUND(G26*B9/B8,0))</f>
        <v/>
      </c>
      <c r="J26" s="18" t="str">
        <f t="shared" si="3"/>
        <v/>
      </c>
      <c r="K26" s="18" t="str">
        <f t="shared" si="3"/>
        <v/>
      </c>
    </row>
    <row r="27" spans="1:11" ht="20" customHeight="1">
      <c r="A27" s="24" t="s">
        <v>35</v>
      </c>
      <c r="B27" s="21" t="s">
        <v>3</v>
      </c>
      <c r="C27" s="21" t="s">
        <v>3</v>
      </c>
      <c r="D27" s="21" t="s">
        <v>3</v>
      </c>
      <c r="E27" s="21" t="s">
        <v>3</v>
      </c>
      <c r="F27" s="25">
        <f t="shared" ref="F27:K27" si="4">SUM(F24:F26)</f>
        <v>0</v>
      </c>
      <c r="G27" s="25">
        <f t="shared" si="4"/>
        <v>0</v>
      </c>
      <c r="H27" s="25">
        <f t="shared" si="4"/>
        <v>0</v>
      </c>
      <c r="I27" s="25">
        <f t="shared" si="4"/>
        <v>0</v>
      </c>
      <c r="J27" s="25">
        <f t="shared" si="4"/>
        <v>0</v>
      </c>
      <c r="K27" s="25">
        <f t="shared" si="4"/>
        <v>0</v>
      </c>
    </row>
    <row r="28" spans="1:11" ht="6" customHeight="1"/>
    <row r="29" spans="1:11" ht="22" customHeight="1">
      <c r="A29" s="72" t="s">
        <v>36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</row>
    <row r="30" spans="1:11" ht="18" customHeight="1">
      <c r="A30" s="21" t="s">
        <v>3</v>
      </c>
      <c r="B30" s="21" t="s">
        <v>3</v>
      </c>
      <c r="C30" s="21" t="s">
        <v>3</v>
      </c>
      <c r="D30" s="21" t="s">
        <v>3</v>
      </c>
      <c r="E30" s="21" t="s">
        <v>3</v>
      </c>
      <c r="F30" s="6" t="s">
        <v>37</v>
      </c>
      <c r="G30" s="6" t="s">
        <v>37</v>
      </c>
      <c r="H30" s="9" t="s">
        <v>21</v>
      </c>
      <c r="I30" s="9" t="s">
        <v>22</v>
      </c>
      <c r="J30" s="10" t="s">
        <v>23</v>
      </c>
      <c r="K30" s="10" t="s">
        <v>24</v>
      </c>
    </row>
    <row r="31" spans="1:11" ht="22" customHeight="1">
      <c r="A31" s="26" t="s">
        <v>38</v>
      </c>
      <c r="B31" s="21" t="s">
        <v>3</v>
      </c>
      <c r="C31" s="21" t="s">
        <v>3</v>
      </c>
      <c r="D31" s="21" t="s">
        <v>3</v>
      </c>
      <c r="E31" s="21" t="s">
        <v>3</v>
      </c>
      <c r="F31" s="5">
        <f>F20+F27</f>
        <v>0</v>
      </c>
      <c r="G31" s="5">
        <f>G20+G27</f>
        <v>0</v>
      </c>
      <c r="H31" s="27">
        <f>H20+H27</f>
        <v>0</v>
      </c>
      <c r="I31" s="28">
        <f>I20+I27</f>
        <v>0</v>
      </c>
      <c r="J31" s="21" t="s">
        <v>3</v>
      </c>
      <c r="K31" s="21" t="s">
        <v>3</v>
      </c>
    </row>
    <row r="32" spans="1:11" ht="22" customHeight="1">
      <c r="A32" s="29" t="s">
        <v>39</v>
      </c>
      <c r="B32" s="21" t="s">
        <v>3</v>
      </c>
      <c r="C32" s="21" t="s">
        <v>3</v>
      </c>
      <c r="D32" s="21" t="s">
        <v>3</v>
      </c>
      <c r="E32" s="21" t="s">
        <v>3</v>
      </c>
      <c r="F32" s="21" t="s">
        <v>3</v>
      </c>
      <c r="G32" s="21" t="s">
        <v>3</v>
      </c>
      <c r="H32" s="21" t="s">
        <v>3</v>
      </c>
      <c r="I32" s="21" t="s">
        <v>3</v>
      </c>
      <c r="J32" s="28">
        <f>J20+J27</f>
        <v>0</v>
      </c>
      <c r="K32" s="28">
        <f>K20+K27</f>
        <v>0</v>
      </c>
    </row>
    <row r="33" spans="1:11" ht="6" customHeight="1"/>
    <row r="34" spans="1:11" ht="30" customHeight="1">
      <c r="A34" s="73" t="s">
        <v>40</v>
      </c>
      <c r="B34" s="62"/>
      <c r="C34" s="62"/>
      <c r="D34" s="62"/>
      <c r="E34" s="62"/>
      <c r="F34" s="62"/>
      <c r="G34" s="62"/>
      <c r="H34" s="62"/>
      <c r="I34" s="62"/>
      <c r="J34" s="74">
        <f>J32+K32</f>
        <v>0</v>
      </c>
      <c r="K34" s="30" t="s">
        <v>41</v>
      </c>
    </row>
    <row r="35" spans="1:11" ht="8" customHeight="1"/>
    <row r="36" spans="1:11" ht="14" customHeight="1">
      <c r="A36" s="7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</row>
  </sheetData>
  <mergeCells count="14">
    <mergeCell ref="A29:K29"/>
    <mergeCell ref="A34:I34"/>
    <mergeCell ref="J34"/>
    <mergeCell ref="A36:K36"/>
    <mergeCell ref="B11:K11"/>
    <mergeCell ref="B12:K12"/>
    <mergeCell ref="A14:K14"/>
    <mergeCell ref="A15:K15"/>
    <mergeCell ref="A22:K22"/>
    <mergeCell ref="A1:K1"/>
    <mergeCell ref="A2:K2"/>
    <mergeCell ref="B4:K4"/>
    <mergeCell ref="B5:D5"/>
    <mergeCell ref="A7:K7"/>
  </mergeCells>
  <phoneticPr fontId="84"/>
  <pageMargins left="0.7" right="0.7" top="0.75" bottom="0.75" header="0.3" footer="0.3"/>
  <ignoredErrors>
    <ignoredError sqref="A1:K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3"/>
  <sheetViews>
    <sheetView workbookViewId="0"/>
  </sheetViews>
  <sheetFormatPr baseColWidth="10" defaultRowHeight="15"/>
  <cols>
    <col min="1" max="1" width="16.83203125" customWidth="1"/>
    <col min="2" max="2" width="28.83203125" customWidth="1"/>
    <col min="3" max="5" width="14.83203125" customWidth="1"/>
  </cols>
  <sheetData>
    <row r="1" spans="1:5" ht="36" customHeight="1">
      <c r="A1" s="76" t="s">
        <v>43</v>
      </c>
      <c r="B1" s="62"/>
      <c r="C1" s="62"/>
      <c r="D1" s="62"/>
      <c r="E1" s="62"/>
    </row>
    <row r="2" spans="1:5" ht="22" customHeight="1">
      <c r="A2" s="77" t="s">
        <v>44</v>
      </c>
      <c r="B2" s="62"/>
      <c r="C2" s="62"/>
      <c r="D2" s="62"/>
      <c r="E2" s="62"/>
    </row>
    <row r="3" spans="1:5" ht="5" customHeight="1"/>
    <row r="4" spans="1:5" ht="22" customHeight="1">
      <c r="A4" s="31" t="s">
        <v>2</v>
      </c>
      <c r="B4" s="78" t="str">
        <f>計算入力!B4</f>
        <v/>
      </c>
      <c r="C4" s="62"/>
      <c r="D4" s="62"/>
      <c r="E4" s="62"/>
    </row>
    <row r="5" spans="1:5" ht="20" customHeight="1">
      <c r="A5" s="32" t="s">
        <v>4</v>
      </c>
      <c r="B5" s="33" t="str">
        <f>計算入力!B5</f>
        <v/>
      </c>
      <c r="C5" s="32" t="s">
        <v>45</v>
      </c>
      <c r="D5" s="79" t="e">
        <f>YEAR(計算入力!B5)&amp;"年度"</f>
        <v>#VALUE!</v>
      </c>
      <c r="E5" s="62"/>
    </row>
    <row r="6" spans="1:5" ht="20" customHeight="1">
      <c r="A6" s="32" t="s">
        <v>6</v>
      </c>
      <c r="B6" s="34" t="str">
        <f>計算入力!B8</f>
        <v/>
      </c>
      <c r="C6" s="32" t="s">
        <v>8</v>
      </c>
      <c r="D6" s="80" t="str">
        <f>計算入力!B8</f>
        <v/>
      </c>
      <c r="E6" s="62"/>
    </row>
    <row r="7" spans="1:5" ht="20" customHeight="1">
      <c r="A7" s="32" t="s">
        <v>10</v>
      </c>
      <c r="B7" s="79" t="str">
        <f>計算入力!B11</f>
        <v/>
      </c>
      <c r="C7" s="62"/>
      <c r="D7" s="62"/>
      <c r="E7" s="62"/>
    </row>
    <row r="8" spans="1:5" ht="20" customHeight="1">
      <c r="A8" s="32" t="s">
        <v>11</v>
      </c>
      <c r="B8" s="79" t="str">
        <f>計算入力!B12</f>
        <v/>
      </c>
      <c r="C8" s="62"/>
      <c r="D8" s="62"/>
      <c r="E8" s="62"/>
    </row>
    <row r="9" spans="1:5" ht="6" customHeight="1"/>
    <row r="10" spans="1:5" ht="22" customHeight="1">
      <c r="A10" s="81" t="s">
        <v>46</v>
      </c>
      <c r="B10" s="62"/>
      <c r="C10" s="62"/>
      <c r="D10" s="62"/>
      <c r="E10" s="62"/>
    </row>
    <row r="11" spans="1:5" ht="20" customHeight="1">
      <c r="A11" s="6" t="s">
        <v>47</v>
      </c>
      <c r="B11" s="6" t="s">
        <v>48</v>
      </c>
      <c r="C11" s="6" t="s">
        <v>49</v>
      </c>
      <c r="D11" s="6" t="s">
        <v>50</v>
      </c>
      <c r="E11" s="6" t="s">
        <v>51</v>
      </c>
    </row>
    <row r="12" spans="1:5" ht="18" customHeight="1">
      <c r="A12" s="70" t="s">
        <v>3</v>
      </c>
      <c r="B12" s="62"/>
      <c r="C12" s="62"/>
      <c r="D12" s="62"/>
      <c r="E12" s="62"/>
    </row>
    <row r="13" spans="1:5" ht="18" customHeight="1">
      <c r="A13" s="35" t="s">
        <v>52</v>
      </c>
      <c r="B13" s="36" t="s">
        <v>32</v>
      </c>
      <c r="C13" s="3" t="str">
        <f>計算入力!F17</f>
        <v/>
      </c>
      <c r="D13" s="3" t="str">
        <f>計算入力!G17</f>
        <v/>
      </c>
      <c r="E13" s="3" t="e">
        <f>計算入力!F17+計算入力!G17</f>
        <v>#VALUE!</v>
      </c>
    </row>
    <row r="14" spans="1:5" ht="18" customHeight="1">
      <c r="A14" s="37" t="s">
        <v>53</v>
      </c>
      <c r="B14" s="38" t="str">
        <f>計算入力!B11</f>
        <v/>
      </c>
      <c r="C14" s="39" t="str">
        <f>計算入力!H17</f>
        <v/>
      </c>
      <c r="D14" s="39" t="str">
        <f>計算入力!I17</f>
        <v/>
      </c>
      <c r="E14" s="39" t="e">
        <f>計算入力!H17+計算入力!I17</f>
        <v>#VALUE!</v>
      </c>
    </row>
    <row r="15" spans="1:5" ht="18" customHeight="1">
      <c r="A15" s="40" t="s">
        <v>54</v>
      </c>
      <c r="B15" s="41" t="str">
        <f>計算入力!B12</f>
        <v/>
      </c>
      <c r="C15" s="42" t="str">
        <f>計算入力!J17</f>
        <v/>
      </c>
      <c r="D15" s="42" t="str">
        <f>計算入力!K17</f>
        <v/>
      </c>
      <c r="E15" s="42" t="e">
        <f>計算入力!J17+計算入力!K17</f>
        <v>#VALUE!</v>
      </c>
    </row>
    <row r="16" spans="1:5" ht="18" customHeight="1">
      <c r="A16" s="70" t="s">
        <v>3</v>
      </c>
      <c r="B16" s="62"/>
      <c r="C16" s="62"/>
      <c r="D16" s="62"/>
      <c r="E16" s="62"/>
    </row>
    <row r="17" spans="1:5" ht="18" customHeight="1">
      <c r="A17" s="35" t="s">
        <v>52</v>
      </c>
      <c r="B17" s="36" t="s">
        <v>32</v>
      </c>
      <c r="C17" s="3" t="str">
        <f>計算入力!F18</f>
        <v/>
      </c>
      <c r="D17" s="3" t="str">
        <f>計算入力!G18</f>
        <v/>
      </c>
      <c r="E17" s="3" t="e">
        <f>計算入力!F18+計算入力!G18</f>
        <v>#VALUE!</v>
      </c>
    </row>
    <row r="18" spans="1:5" ht="18" customHeight="1">
      <c r="A18" s="37" t="s">
        <v>53</v>
      </c>
      <c r="B18" s="38" t="str">
        <f>計算入力!B11</f>
        <v/>
      </c>
      <c r="C18" s="39" t="str">
        <f>計算入力!H18</f>
        <v/>
      </c>
      <c r="D18" s="39" t="str">
        <f>計算入力!I18</f>
        <v/>
      </c>
      <c r="E18" s="39" t="e">
        <f>計算入力!H18+計算入力!I18</f>
        <v>#VALUE!</v>
      </c>
    </row>
    <row r="19" spans="1:5" ht="18" customHeight="1">
      <c r="A19" s="40" t="s">
        <v>54</v>
      </c>
      <c r="B19" s="41" t="str">
        <f>計算入力!B12</f>
        <v/>
      </c>
      <c r="C19" s="42" t="str">
        <f>計算入力!J18</f>
        <v/>
      </c>
      <c r="D19" s="42" t="str">
        <f>計算入力!K18</f>
        <v/>
      </c>
      <c r="E19" s="42" t="e">
        <f>計算入力!J18+計算入力!K18</f>
        <v>#VALUE!</v>
      </c>
    </row>
    <row r="20" spans="1:5" ht="18" customHeight="1">
      <c r="A20" s="70" t="s">
        <v>3</v>
      </c>
      <c r="B20" s="62"/>
      <c r="C20" s="62"/>
      <c r="D20" s="62"/>
      <c r="E20" s="62"/>
    </row>
    <row r="21" spans="1:5" ht="18" customHeight="1">
      <c r="A21" s="35" t="s">
        <v>52</v>
      </c>
      <c r="B21" s="36" t="s">
        <v>32</v>
      </c>
      <c r="C21" s="3" t="str">
        <f>計算入力!F19</f>
        <v/>
      </c>
      <c r="D21" s="3" t="str">
        <f>計算入力!G19</f>
        <v/>
      </c>
      <c r="E21" s="3" t="e">
        <f>計算入力!F19+計算入力!G19</f>
        <v>#VALUE!</v>
      </c>
    </row>
    <row r="22" spans="1:5" ht="18" customHeight="1">
      <c r="A22" s="37" t="s">
        <v>53</v>
      </c>
      <c r="B22" s="38" t="str">
        <f>計算入力!B11</f>
        <v/>
      </c>
      <c r="C22" s="39" t="str">
        <f>計算入力!H19</f>
        <v/>
      </c>
      <c r="D22" s="39" t="str">
        <f>計算入力!I19</f>
        <v/>
      </c>
      <c r="E22" s="39" t="e">
        <f>計算入力!H19+計算入力!I19</f>
        <v>#VALUE!</v>
      </c>
    </row>
    <row r="23" spans="1:5" ht="18" customHeight="1">
      <c r="A23" s="40" t="s">
        <v>54</v>
      </c>
      <c r="B23" s="41" t="str">
        <f>計算入力!B12</f>
        <v/>
      </c>
      <c r="C23" s="42" t="str">
        <f>計算入力!J19</f>
        <v/>
      </c>
      <c r="D23" s="42" t="str">
        <f>計算入力!K19</f>
        <v/>
      </c>
      <c r="E23" s="42" t="e">
        <f>計算入力!J19+計算入力!K19</f>
        <v>#VALUE!</v>
      </c>
    </row>
    <row r="24" spans="1:5" ht="18" customHeight="1">
      <c r="A24" s="71" t="str">
        <f>"　◆ "&amp;計算入力!A24</f>
        <v>　◆ 建物①</v>
      </c>
      <c r="B24" s="62"/>
      <c r="C24" s="62"/>
      <c r="D24" s="62"/>
      <c r="E24" s="62"/>
    </row>
    <row r="25" spans="1:5" ht="18" customHeight="1">
      <c r="A25" s="43" t="s">
        <v>52</v>
      </c>
      <c r="B25" s="44" t="s">
        <v>32</v>
      </c>
      <c r="C25" s="45" t="str">
        <f>計算入力!F24</f>
        <v/>
      </c>
      <c r="D25" s="45" t="str">
        <f>計算入力!G24</f>
        <v/>
      </c>
      <c r="E25" s="45" t="e">
        <f>計算入力!F24+計算入力!G24</f>
        <v>#VALUE!</v>
      </c>
    </row>
    <row r="26" spans="1:5" ht="18" customHeight="1">
      <c r="A26" s="37" t="s">
        <v>53</v>
      </c>
      <c r="B26" s="38" t="str">
        <f>計算入力!B11</f>
        <v/>
      </c>
      <c r="C26" s="39" t="str">
        <f>計算入力!H24</f>
        <v/>
      </c>
      <c r="D26" s="39" t="str">
        <f>計算入力!I24</f>
        <v/>
      </c>
      <c r="E26" s="39" t="e">
        <f>計算入力!H24+計算入力!I24</f>
        <v>#VALUE!</v>
      </c>
    </row>
    <row r="27" spans="1:5" ht="18" customHeight="1">
      <c r="A27" s="40" t="s">
        <v>54</v>
      </c>
      <c r="B27" s="41" t="str">
        <f>計算入力!B12</f>
        <v/>
      </c>
      <c r="C27" s="42" t="str">
        <f>計算入力!J24</f>
        <v/>
      </c>
      <c r="D27" s="42" t="str">
        <f>計算入力!K24</f>
        <v/>
      </c>
      <c r="E27" s="42" t="e">
        <f>計算入力!J24+計算入力!K24</f>
        <v>#VALUE!</v>
      </c>
    </row>
    <row r="28" spans="1:5" ht="18" customHeight="1">
      <c r="A28" s="71" t="str">
        <f>"　◆ "&amp;計算入力!A25</f>
        <v>　◆ 建物②</v>
      </c>
      <c r="B28" s="62"/>
      <c r="C28" s="62"/>
      <c r="D28" s="62"/>
      <c r="E28" s="62"/>
    </row>
    <row r="29" spans="1:5" ht="18" customHeight="1">
      <c r="A29" s="43" t="s">
        <v>52</v>
      </c>
      <c r="B29" s="44" t="s">
        <v>32</v>
      </c>
      <c r="C29" s="45" t="str">
        <f>計算入力!F25</f>
        <v/>
      </c>
      <c r="D29" s="45" t="str">
        <f>計算入力!G25</f>
        <v/>
      </c>
      <c r="E29" s="45" t="e">
        <f>計算入力!F25+計算入力!G25</f>
        <v>#VALUE!</v>
      </c>
    </row>
    <row r="30" spans="1:5" ht="18" customHeight="1">
      <c r="A30" s="37" t="s">
        <v>53</v>
      </c>
      <c r="B30" s="38" t="str">
        <f>計算入力!B11</f>
        <v/>
      </c>
      <c r="C30" s="39" t="str">
        <f>計算入力!H25</f>
        <v/>
      </c>
      <c r="D30" s="39" t="str">
        <f>計算入力!I25</f>
        <v/>
      </c>
      <c r="E30" s="39" t="e">
        <f>計算入力!H25+計算入力!I25</f>
        <v>#VALUE!</v>
      </c>
    </row>
    <row r="31" spans="1:5" ht="18" customHeight="1">
      <c r="A31" s="40" t="s">
        <v>54</v>
      </c>
      <c r="B31" s="41" t="str">
        <f>計算入力!B12</f>
        <v/>
      </c>
      <c r="C31" s="42" t="str">
        <f>計算入力!J25</f>
        <v/>
      </c>
      <c r="D31" s="42" t="str">
        <f>計算入力!K25</f>
        <v/>
      </c>
      <c r="E31" s="42" t="e">
        <f>計算入力!J25+計算入力!K25</f>
        <v>#VALUE!</v>
      </c>
    </row>
    <row r="32" spans="1:5" ht="18" customHeight="1">
      <c r="A32" s="71" t="str">
        <f>"　◆ "&amp;計算入力!A26</f>
        <v>　◆ 建物③</v>
      </c>
      <c r="B32" s="62"/>
      <c r="C32" s="62"/>
      <c r="D32" s="62"/>
      <c r="E32" s="62"/>
    </row>
    <row r="33" spans="1:5" ht="18" customHeight="1">
      <c r="A33" s="43" t="s">
        <v>52</v>
      </c>
      <c r="B33" s="44" t="s">
        <v>32</v>
      </c>
      <c r="C33" s="45" t="str">
        <f>計算入力!F26</f>
        <v/>
      </c>
      <c r="D33" s="45" t="str">
        <f>計算入力!G26</f>
        <v/>
      </c>
      <c r="E33" s="45" t="e">
        <f>計算入力!F26+計算入力!G26</f>
        <v>#VALUE!</v>
      </c>
    </row>
    <row r="34" spans="1:5" ht="18" customHeight="1">
      <c r="A34" s="37" t="s">
        <v>53</v>
      </c>
      <c r="B34" s="38" t="str">
        <f>計算入力!B11</f>
        <v/>
      </c>
      <c r="C34" s="39" t="str">
        <f>計算入力!H26</f>
        <v/>
      </c>
      <c r="D34" s="39" t="str">
        <f>計算入力!I26</f>
        <v/>
      </c>
      <c r="E34" s="39" t="e">
        <f>計算入力!H26+計算入力!I26</f>
        <v>#VALUE!</v>
      </c>
    </row>
    <row r="35" spans="1:5" ht="18" customHeight="1">
      <c r="A35" s="40" t="s">
        <v>54</v>
      </c>
      <c r="B35" s="41" t="str">
        <f>計算入力!B12</f>
        <v/>
      </c>
      <c r="C35" s="42" t="str">
        <f>計算入力!J26</f>
        <v/>
      </c>
      <c r="D35" s="42" t="str">
        <f>計算入力!K26</f>
        <v/>
      </c>
      <c r="E35" s="42" t="e">
        <f>計算入力!J26+計算入力!K26</f>
        <v>#VALUE!</v>
      </c>
    </row>
    <row r="36" spans="1:5" ht="6" customHeight="1"/>
    <row r="37" spans="1:5" ht="22" customHeight="1">
      <c r="A37" s="72" t="s">
        <v>55</v>
      </c>
      <c r="B37" s="62"/>
      <c r="C37" s="62"/>
      <c r="D37" s="62"/>
      <c r="E37" s="62"/>
    </row>
    <row r="38" spans="1:5" ht="24" customHeight="1">
      <c r="A38" s="46" t="s">
        <v>38</v>
      </c>
      <c r="B38" s="47" t="s">
        <v>56</v>
      </c>
      <c r="C38" s="48">
        <f>計算入力!H20+計算入力!H27</f>
        <v>0</v>
      </c>
      <c r="D38" s="48">
        <f>計算入力!I20+計算入力!I27</f>
        <v>0</v>
      </c>
      <c r="E38" s="48">
        <f>計算入力!H20+計算入力!H27+計算入力!I20+計算入力!I27</f>
        <v>0</v>
      </c>
    </row>
    <row r="39" spans="1:5" ht="24" customHeight="1">
      <c r="A39" s="49" t="s">
        <v>39</v>
      </c>
      <c r="B39" s="50" t="s">
        <v>57</v>
      </c>
      <c r="C39" s="51">
        <f>計算入力!J20+計算入力!J27</f>
        <v>0</v>
      </c>
      <c r="D39" s="51">
        <f>計算入力!K20+計算入力!K27</f>
        <v>0</v>
      </c>
      <c r="E39" s="51">
        <f>計算入力!J20+計算入力!J27+計算入力!K20+計算入力!K27</f>
        <v>0</v>
      </c>
    </row>
    <row r="40" spans="1:5" ht="8" customHeight="1"/>
    <row r="41" spans="1:5" ht="34" customHeight="1">
      <c r="A41" s="82" t="s">
        <v>58</v>
      </c>
      <c r="B41" s="62"/>
      <c r="C41" s="62"/>
      <c r="D41" s="62"/>
      <c r="E41" s="52">
        <f>計算入力!J20+計算入力!J27+計算入力!K20+計算入力!K27</f>
        <v>0</v>
      </c>
    </row>
    <row r="42" spans="1:5" ht="8" customHeight="1"/>
    <row r="43" spans="1:5" ht="14" customHeight="1">
      <c r="A43" s="83" t="s">
        <v>59</v>
      </c>
      <c r="B43" s="62"/>
      <c r="C43" s="62"/>
      <c r="D43" s="62"/>
      <c r="E43" s="62"/>
    </row>
  </sheetData>
  <mergeCells count="17">
    <mergeCell ref="A41:D41"/>
    <mergeCell ref="A43:E43"/>
    <mergeCell ref="A20:E20"/>
    <mergeCell ref="A24:E24"/>
    <mergeCell ref="A28:E28"/>
    <mergeCell ref="A32:E32"/>
    <mergeCell ref="A37:E37"/>
    <mergeCell ref="B7:E7"/>
    <mergeCell ref="B8:E8"/>
    <mergeCell ref="A10:E10"/>
    <mergeCell ref="A12:E12"/>
    <mergeCell ref="A16:E16"/>
    <mergeCell ref="A1:E1"/>
    <mergeCell ref="A2:E2"/>
    <mergeCell ref="B4:E4"/>
    <mergeCell ref="D5:E5"/>
    <mergeCell ref="D6:E6"/>
  </mergeCells>
  <phoneticPr fontId="84"/>
  <pageMargins left="0.7" right="0.7" top="0.75" bottom="0.75" header="0.3" footer="0.3"/>
  <ignoredErrors>
    <ignoredError sqref="A1:E4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3"/>
  <sheetViews>
    <sheetView workbookViewId="0"/>
  </sheetViews>
  <sheetFormatPr baseColWidth="10" defaultRowHeight="15"/>
  <cols>
    <col min="1" max="1" width="16.83203125" customWidth="1"/>
    <col min="2" max="2" width="28.83203125" customWidth="1"/>
    <col min="3" max="5" width="14.83203125" customWidth="1"/>
  </cols>
  <sheetData>
    <row r="1" spans="1:5" ht="36" customHeight="1">
      <c r="A1" s="76" t="s">
        <v>43</v>
      </c>
      <c r="B1" s="62"/>
      <c r="C1" s="62"/>
      <c r="D1" s="62"/>
      <c r="E1" s="62"/>
    </row>
    <row r="2" spans="1:5" ht="22" customHeight="1">
      <c r="A2" s="77" t="s">
        <v>60</v>
      </c>
      <c r="B2" s="62"/>
      <c r="C2" s="62"/>
      <c r="D2" s="62"/>
      <c r="E2" s="62"/>
    </row>
    <row r="3" spans="1:5" ht="5" customHeight="1"/>
    <row r="4" spans="1:5" ht="22" customHeight="1">
      <c r="A4" s="31" t="s">
        <v>2</v>
      </c>
      <c r="B4" s="78" t="str">
        <f>計算入力!B4</f>
        <v/>
      </c>
      <c r="C4" s="62"/>
      <c r="D4" s="62"/>
      <c r="E4" s="62"/>
    </row>
    <row r="5" spans="1:5" ht="20" customHeight="1">
      <c r="A5" s="31" t="s">
        <v>4</v>
      </c>
      <c r="B5" s="53" t="str">
        <f>計算入力!B5</f>
        <v/>
      </c>
      <c r="C5" s="31" t="s">
        <v>45</v>
      </c>
      <c r="D5" s="79" t="e">
        <f>YEAR(計算入力!B5)&amp;"年度"</f>
        <v>#VALUE!</v>
      </c>
      <c r="E5" s="62"/>
    </row>
    <row r="6" spans="1:5" ht="20" customHeight="1">
      <c r="A6" s="31" t="s">
        <v>6</v>
      </c>
      <c r="B6" s="34" t="str">
        <f>計算入力!B8</f>
        <v/>
      </c>
      <c r="C6" s="31" t="s">
        <v>8</v>
      </c>
      <c r="D6" s="84" t="str">
        <f>計算入力!B8</f>
        <v/>
      </c>
      <c r="E6" s="62"/>
    </row>
    <row r="7" spans="1:5" ht="20" customHeight="1">
      <c r="A7" s="31" t="s">
        <v>10</v>
      </c>
      <c r="B7" s="79" t="str">
        <f>計算入力!B11</f>
        <v/>
      </c>
      <c r="C7" s="62"/>
      <c r="D7" s="62"/>
      <c r="E7" s="62"/>
    </row>
    <row r="8" spans="1:5" ht="20" customHeight="1">
      <c r="A8" s="31" t="s">
        <v>11</v>
      </c>
      <c r="B8" s="79" t="str">
        <f>計算入力!B12</f>
        <v/>
      </c>
      <c r="C8" s="62"/>
      <c r="D8" s="62"/>
      <c r="E8" s="62"/>
    </row>
    <row r="9" spans="1:5" ht="6" customHeight="1"/>
    <row r="10" spans="1:5" ht="22" customHeight="1">
      <c r="A10" s="81" t="s">
        <v>46</v>
      </c>
      <c r="B10" s="62"/>
      <c r="C10" s="62"/>
      <c r="D10" s="62"/>
      <c r="E10" s="62"/>
    </row>
    <row r="11" spans="1:5" ht="20" customHeight="1">
      <c r="A11" s="6" t="s">
        <v>47</v>
      </c>
      <c r="B11" s="6" t="s">
        <v>48</v>
      </c>
      <c r="C11" s="6" t="s">
        <v>49</v>
      </c>
      <c r="D11" s="6" t="s">
        <v>50</v>
      </c>
      <c r="E11" s="6" t="s">
        <v>51</v>
      </c>
    </row>
    <row r="12" spans="1:5" ht="18" customHeight="1">
      <c r="A12" s="70" t="s">
        <v>3</v>
      </c>
      <c r="B12" s="62"/>
      <c r="C12" s="62"/>
      <c r="D12" s="62"/>
      <c r="E12" s="62"/>
    </row>
    <row r="13" spans="1:5" ht="18" customHeight="1">
      <c r="A13" s="35" t="s">
        <v>52</v>
      </c>
      <c r="B13" s="36" t="s">
        <v>32</v>
      </c>
      <c r="C13" s="3" t="str">
        <f>計算入力!F17</f>
        <v/>
      </c>
      <c r="D13" s="3" t="str">
        <f>計算入力!G17</f>
        <v/>
      </c>
      <c r="E13" s="3" t="e">
        <f>計算入力!F17+計算入力!G17</f>
        <v>#VALUE!</v>
      </c>
    </row>
    <row r="14" spans="1:5" ht="18" customHeight="1">
      <c r="A14" s="40" t="s">
        <v>53</v>
      </c>
      <c r="B14" s="41" t="str">
        <f>計算入力!B11</f>
        <v/>
      </c>
      <c r="C14" s="42" t="str">
        <f>計算入力!H17</f>
        <v/>
      </c>
      <c r="D14" s="42" t="str">
        <f>計算入力!I17</f>
        <v/>
      </c>
      <c r="E14" s="42" t="e">
        <f>計算入力!H17+計算入力!I17</f>
        <v>#VALUE!</v>
      </c>
    </row>
    <row r="15" spans="1:5" ht="18" customHeight="1">
      <c r="A15" s="54" t="s">
        <v>54</v>
      </c>
      <c r="B15" s="55" t="str">
        <f>計算入力!B12</f>
        <v/>
      </c>
      <c r="C15" s="56" t="str">
        <f>計算入力!J17</f>
        <v/>
      </c>
      <c r="D15" s="56" t="str">
        <f>計算入力!K17</f>
        <v/>
      </c>
      <c r="E15" s="56" t="e">
        <f>計算入力!J17+計算入力!K17</f>
        <v>#VALUE!</v>
      </c>
    </row>
    <row r="16" spans="1:5" ht="18" customHeight="1">
      <c r="A16" s="70" t="s">
        <v>3</v>
      </c>
      <c r="B16" s="62"/>
      <c r="C16" s="62"/>
      <c r="D16" s="62"/>
      <c r="E16" s="62"/>
    </row>
    <row r="17" spans="1:5" ht="18" customHeight="1">
      <c r="A17" s="35" t="s">
        <v>52</v>
      </c>
      <c r="B17" s="36" t="s">
        <v>32</v>
      </c>
      <c r="C17" s="3" t="str">
        <f>計算入力!F18</f>
        <v/>
      </c>
      <c r="D17" s="3" t="str">
        <f>計算入力!G18</f>
        <v/>
      </c>
      <c r="E17" s="3" t="e">
        <f>計算入力!F18+計算入力!G18</f>
        <v>#VALUE!</v>
      </c>
    </row>
    <row r="18" spans="1:5" ht="18" customHeight="1">
      <c r="A18" s="40" t="s">
        <v>53</v>
      </c>
      <c r="B18" s="41" t="str">
        <f>計算入力!B11</f>
        <v/>
      </c>
      <c r="C18" s="42" t="str">
        <f>計算入力!H18</f>
        <v/>
      </c>
      <c r="D18" s="42" t="str">
        <f>計算入力!I18</f>
        <v/>
      </c>
      <c r="E18" s="42" t="e">
        <f>計算入力!H18+計算入力!I18</f>
        <v>#VALUE!</v>
      </c>
    </row>
    <row r="19" spans="1:5" ht="18" customHeight="1">
      <c r="A19" s="54" t="s">
        <v>54</v>
      </c>
      <c r="B19" s="55" t="str">
        <f>計算入力!B12</f>
        <v/>
      </c>
      <c r="C19" s="56" t="str">
        <f>計算入力!J18</f>
        <v/>
      </c>
      <c r="D19" s="56" t="str">
        <f>計算入力!K18</f>
        <v/>
      </c>
      <c r="E19" s="56" t="e">
        <f>計算入力!J18+計算入力!K18</f>
        <v>#VALUE!</v>
      </c>
    </row>
    <row r="20" spans="1:5" ht="18" customHeight="1">
      <c r="A20" s="70" t="s">
        <v>3</v>
      </c>
      <c r="B20" s="62"/>
      <c r="C20" s="62"/>
      <c r="D20" s="62"/>
      <c r="E20" s="62"/>
    </row>
    <row r="21" spans="1:5" ht="18" customHeight="1">
      <c r="A21" s="35" t="s">
        <v>52</v>
      </c>
      <c r="B21" s="36" t="s">
        <v>32</v>
      </c>
      <c r="C21" s="3" t="str">
        <f>計算入力!F19</f>
        <v/>
      </c>
      <c r="D21" s="3" t="str">
        <f>計算入力!G19</f>
        <v/>
      </c>
      <c r="E21" s="3" t="e">
        <f>計算入力!F19+計算入力!G19</f>
        <v>#VALUE!</v>
      </c>
    </row>
    <row r="22" spans="1:5" ht="18" customHeight="1">
      <c r="A22" s="40" t="s">
        <v>53</v>
      </c>
      <c r="B22" s="41" t="str">
        <f>計算入力!B11</f>
        <v/>
      </c>
      <c r="C22" s="42" t="str">
        <f>計算入力!H19</f>
        <v/>
      </c>
      <c r="D22" s="42" t="str">
        <f>計算入力!I19</f>
        <v/>
      </c>
      <c r="E22" s="42" t="e">
        <f>計算入力!H19+計算入力!I19</f>
        <v>#VALUE!</v>
      </c>
    </row>
    <row r="23" spans="1:5" ht="18" customHeight="1">
      <c r="A23" s="54" t="s">
        <v>54</v>
      </c>
      <c r="B23" s="55" t="str">
        <f>計算入力!B12</f>
        <v/>
      </c>
      <c r="C23" s="56" t="str">
        <f>計算入力!J19</f>
        <v/>
      </c>
      <c r="D23" s="56" t="str">
        <f>計算入力!K19</f>
        <v/>
      </c>
      <c r="E23" s="56" t="e">
        <f>計算入力!J19+計算入力!K19</f>
        <v>#VALUE!</v>
      </c>
    </row>
    <row r="24" spans="1:5" ht="18" customHeight="1">
      <c r="A24" s="71" t="str">
        <f>"　◆ "&amp;計算入力!A24</f>
        <v>　◆ 建物①</v>
      </c>
      <c r="B24" s="62"/>
      <c r="C24" s="62"/>
      <c r="D24" s="62"/>
      <c r="E24" s="62"/>
    </row>
    <row r="25" spans="1:5" ht="18" customHeight="1">
      <c r="A25" s="43" t="s">
        <v>52</v>
      </c>
      <c r="B25" s="44" t="s">
        <v>32</v>
      </c>
      <c r="C25" s="45" t="str">
        <f>計算入力!F24</f>
        <v/>
      </c>
      <c r="D25" s="45" t="str">
        <f>計算入力!G24</f>
        <v/>
      </c>
      <c r="E25" s="45" t="e">
        <f>計算入力!F24+計算入力!G24</f>
        <v>#VALUE!</v>
      </c>
    </row>
    <row r="26" spans="1:5" ht="18" customHeight="1">
      <c r="A26" s="40" t="s">
        <v>53</v>
      </c>
      <c r="B26" s="41" t="str">
        <f>計算入力!B11</f>
        <v/>
      </c>
      <c r="C26" s="42" t="str">
        <f>計算入力!H24</f>
        <v/>
      </c>
      <c r="D26" s="42" t="str">
        <f>計算入力!I24</f>
        <v/>
      </c>
      <c r="E26" s="42" t="e">
        <f>計算入力!H24+計算入力!I24</f>
        <v>#VALUE!</v>
      </c>
    </row>
    <row r="27" spans="1:5" ht="18" customHeight="1">
      <c r="A27" s="54" t="s">
        <v>54</v>
      </c>
      <c r="B27" s="55" t="str">
        <f>計算入力!B12</f>
        <v/>
      </c>
      <c r="C27" s="56" t="str">
        <f>計算入力!J24</f>
        <v/>
      </c>
      <c r="D27" s="56" t="str">
        <f>計算入力!K24</f>
        <v/>
      </c>
      <c r="E27" s="56" t="e">
        <f>計算入力!J24+計算入力!K24</f>
        <v>#VALUE!</v>
      </c>
    </row>
    <row r="28" spans="1:5" ht="18" customHeight="1">
      <c r="A28" s="71" t="str">
        <f>"　◆ "&amp;計算入力!A25</f>
        <v>　◆ 建物②</v>
      </c>
      <c r="B28" s="62"/>
      <c r="C28" s="62"/>
      <c r="D28" s="62"/>
      <c r="E28" s="62"/>
    </row>
    <row r="29" spans="1:5" ht="18" customHeight="1">
      <c r="A29" s="43" t="s">
        <v>52</v>
      </c>
      <c r="B29" s="44" t="s">
        <v>32</v>
      </c>
      <c r="C29" s="45" t="str">
        <f>計算入力!F25</f>
        <v/>
      </c>
      <c r="D29" s="45" t="str">
        <f>計算入力!G25</f>
        <v/>
      </c>
      <c r="E29" s="45" t="e">
        <f>計算入力!F25+計算入力!G25</f>
        <v>#VALUE!</v>
      </c>
    </row>
    <row r="30" spans="1:5" ht="18" customHeight="1">
      <c r="A30" s="40" t="s">
        <v>53</v>
      </c>
      <c r="B30" s="41" t="str">
        <f>計算入力!B11</f>
        <v/>
      </c>
      <c r="C30" s="42" t="str">
        <f>計算入力!H25</f>
        <v/>
      </c>
      <c r="D30" s="42" t="str">
        <f>計算入力!I25</f>
        <v/>
      </c>
      <c r="E30" s="42" t="e">
        <f>計算入力!H25+計算入力!I25</f>
        <v>#VALUE!</v>
      </c>
    </row>
    <row r="31" spans="1:5" ht="18" customHeight="1">
      <c r="A31" s="54" t="s">
        <v>54</v>
      </c>
      <c r="B31" s="55" t="str">
        <f>計算入力!B12</f>
        <v/>
      </c>
      <c r="C31" s="56" t="str">
        <f>計算入力!J25</f>
        <v/>
      </c>
      <c r="D31" s="56" t="str">
        <f>計算入力!K25</f>
        <v/>
      </c>
      <c r="E31" s="56" t="e">
        <f>計算入力!J25+計算入力!K25</f>
        <v>#VALUE!</v>
      </c>
    </row>
    <row r="32" spans="1:5" ht="18" customHeight="1">
      <c r="A32" s="71" t="str">
        <f>"　◆ "&amp;計算入力!A26</f>
        <v>　◆ 建物③</v>
      </c>
      <c r="B32" s="62"/>
      <c r="C32" s="62"/>
      <c r="D32" s="62"/>
      <c r="E32" s="62"/>
    </row>
    <row r="33" spans="1:5" ht="18" customHeight="1">
      <c r="A33" s="43" t="s">
        <v>52</v>
      </c>
      <c r="B33" s="44" t="s">
        <v>32</v>
      </c>
      <c r="C33" s="45" t="str">
        <f>計算入力!F26</f>
        <v/>
      </c>
      <c r="D33" s="45" t="str">
        <f>計算入力!G26</f>
        <v/>
      </c>
      <c r="E33" s="45" t="e">
        <f>計算入力!F26+計算入力!G26</f>
        <v>#VALUE!</v>
      </c>
    </row>
    <row r="34" spans="1:5" ht="18" customHeight="1">
      <c r="A34" s="40" t="s">
        <v>53</v>
      </c>
      <c r="B34" s="41" t="str">
        <f>計算入力!B11</f>
        <v/>
      </c>
      <c r="C34" s="42" t="str">
        <f>計算入力!H26</f>
        <v/>
      </c>
      <c r="D34" s="42" t="str">
        <f>計算入力!I26</f>
        <v/>
      </c>
      <c r="E34" s="42" t="e">
        <f>計算入力!H26+計算入力!I26</f>
        <v>#VALUE!</v>
      </c>
    </row>
    <row r="35" spans="1:5" ht="18" customHeight="1">
      <c r="A35" s="54" t="s">
        <v>54</v>
      </c>
      <c r="B35" s="55" t="str">
        <f>計算入力!B12</f>
        <v/>
      </c>
      <c r="C35" s="56" t="str">
        <f>計算入力!J26</f>
        <v/>
      </c>
      <c r="D35" s="56" t="str">
        <f>計算入力!K26</f>
        <v/>
      </c>
      <c r="E35" s="56" t="e">
        <f>計算入力!J26+計算入力!K26</f>
        <v>#VALUE!</v>
      </c>
    </row>
    <row r="36" spans="1:5" ht="6" customHeight="1"/>
    <row r="37" spans="1:5" ht="22" customHeight="1">
      <c r="A37" s="72" t="s">
        <v>55</v>
      </c>
      <c r="B37" s="62"/>
      <c r="C37" s="62"/>
      <c r="D37" s="62"/>
      <c r="E37" s="62"/>
    </row>
    <row r="38" spans="1:5" ht="24" customHeight="1">
      <c r="A38" s="49" t="s">
        <v>38</v>
      </c>
      <c r="B38" s="50" t="s">
        <v>61</v>
      </c>
      <c r="C38" s="51">
        <f>計算入力!H20+計算入力!H27</f>
        <v>0</v>
      </c>
      <c r="D38" s="51">
        <f>計算入力!I20+計算入力!I27</f>
        <v>0</v>
      </c>
      <c r="E38" s="51">
        <f>計算入力!H20+計算入力!H27+計算入力!I20+計算入力!I27</f>
        <v>0</v>
      </c>
    </row>
    <row r="39" spans="1:5" ht="24" customHeight="1">
      <c r="A39" s="57" t="s">
        <v>39</v>
      </c>
      <c r="B39" s="58" t="s">
        <v>62</v>
      </c>
      <c r="C39" s="59">
        <f>計算入力!J20+計算入力!J27</f>
        <v>0</v>
      </c>
      <c r="D39" s="59">
        <f>計算入力!K20+計算入力!K27</f>
        <v>0</v>
      </c>
      <c r="E39" s="59">
        <f>計算入力!J20+計算入力!J27+計算入力!K20+計算入力!K27</f>
        <v>0</v>
      </c>
    </row>
    <row r="40" spans="1:5" ht="8" customHeight="1"/>
    <row r="41" spans="1:5" ht="34" customHeight="1">
      <c r="A41" s="85" t="s">
        <v>63</v>
      </c>
      <c r="B41" s="62"/>
      <c r="C41" s="62"/>
      <c r="D41" s="62"/>
      <c r="E41" s="60">
        <f>計算入力!J20+計算入力!J27+計算入力!K20+計算入力!K27</f>
        <v>0</v>
      </c>
    </row>
    <row r="42" spans="1:5" ht="8" customHeight="1"/>
    <row r="43" spans="1:5" ht="14" customHeight="1">
      <c r="A43" s="83" t="s">
        <v>59</v>
      </c>
      <c r="B43" s="62"/>
      <c r="C43" s="62"/>
      <c r="D43" s="62"/>
      <c r="E43" s="62"/>
    </row>
  </sheetData>
  <mergeCells count="17">
    <mergeCell ref="A41:D41"/>
    <mergeCell ref="A43:E43"/>
    <mergeCell ref="A20:E20"/>
    <mergeCell ref="A24:E24"/>
    <mergeCell ref="A28:E28"/>
    <mergeCell ref="A32:E32"/>
    <mergeCell ref="A37:E37"/>
    <mergeCell ref="B7:E7"/>
    <mergeCell ref="B8:E8"/>
    <mergeCell ref="A10:E10"/>
    <mergeCell ref="A12:E12"/>
    <mergeCell ref="A16:E16"/>
    <mergeCell ref="A1:E1"/>
    <mergeCell ref="A2:E2"/>
    <mergeCell ref="B4:E4"/>
    <mergeCell ref="D5:E5"/>
    <mergeCell ref="D6:E6"/>
  </mergeCells>
  <phoneticPr fontId="84"/>
  <pageMargins left="0.7" right="0.7" top="0.75" bottom="0.75" header="0.3" footer="0.3"/>
  <ignoredErrors>
    <ignoredError sqref="A1:E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計算入力</vt:lpstr>
      <vt:lpstr>売主様控え</vt:lpstr>
      <vt:lpstr>買主様控え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勝教 新山</cp:lastModifiedBy>
  <dcterms:created xsi:type="dcterms:W3CDTF">2026-03-25T12:42:13Z</dcterms:created>
  <dcterms:modified xsi:type="dcterms:W3CDTF">2026-03-25T12:42:13Z</dcterms:modified>
</cp:coreProperties>
</file>